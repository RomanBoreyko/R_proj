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ositions" sheetId="1" state="visible" r:id="rId3"/>
    <sheet name="Dashboard" sheetId="2" state="visible" r:id="rId4"/>
    <sheet name="sol model 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<sst xmlns="http://schemas.openxmlformats.org/spreadsheetml/2006/main" count="37" uniqueCount="28">
  <si>
    <t xml:space="preserve">Expiry</t>
  </si>
  <si>
    <t xml:space="preserve">Strike</t>
  </si>
  <si>
    <t xml:space="preserve">Qty</t>
  </si>
  <si>
    <t xml:space="preserve">10-12-25</t>
  </si>
  <si>
    <t xml:space="preserve">11-12-25</t>
  </si>
  <si>
    <t xml:space="preserve">12-12-25</t>
  </si>
  <si>
    <t xml:space="preserve">19-12-25</t>
  </si>
  <si>
    <t xml:space="preserve">26-12-25</t>
  </si>
  <si>
    <t xml:space="preserve">Metric</t>
  </si>
  <si>
    <t xml:space="preserve">Value</t>
  </si>
  <si>
    <t xml:space="preserve">Total Positions (abs)</t>
  </si>
  <si>
    <t xml:space="preserve">Net Position</t>
  </si>
  <si>
    <t xml:space="preserve">Net Qty</t>
  </si>
  <si>
    <t xml:space="preserve">задача</t>
  </si>
  <si>
    <t xml:space="preserve">решение</t>
  </si>
  <si>
    <t xml:space="preserve">актив</t>
  </si>
  <si>
    <t xml:space="preserve">инструммент</t>
  </si>
  <si>
    <t xml:space="preserve">страйки</t>
  </si>
  <si>
    <t xml:space="preserve">дата</t>
  </si>
  <si>
    <t xml:space="preserve">обьем</t>
  </si>
  <si>
    <t xml:space="preserve">достроить позу</t>
  </si>
  <si>
    <t xml:space="preserve">бычий спред 
С потенциалом в кондор</t>
  </si>
  <si>
    <t xml:space="preserve">SELL CALL 140
BUY CALL 156
</t>
  </si>
  <si>
    <t xml:space="preserve">солана</t>
  </si>
  <si>
    <t xml:space="preserve">Sol 26 dec 2025</t>
  </si>
  <si>
    <t xml:space="preserve">Sell 140</t>
  </si>
  <si>
    <t xml:space="preserve">10.12.2025</t>
  </si>
  <si>
    <t xml:space="preserve">Buy 156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</si>
</sst>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Net Position by Expiry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Dashboard!$A$7:$A$11</c:f>
              <c:strCache>
                <c:ptCount val="5"/>
                <c:pt idx="0">
                  <c:v>11-12-25</c:v>
                </c:pt>
                <c:pt idx="1">
                  <c:v>12-12-25</c:v>
                </c:pt>
                <c:pt idx="2">
                  <c:v>19-12-25</c:v>
                </c:pt>
                <c:pt idx="3">
                  <c:v>26-12-25</c:v>
                </c:pt>
                <c:pt idx="4">
                  <c:v/>
                </c:pt>
              </c:strCache>
            </c:strRef>
          </c:cat>
          <c:val>
            <c:numRef>
              <c:f>Dashboard!$B$6:$B$10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</c:ser>
        <c:gapWidth val="150"/>
        <c:overlap val="0"/>
        <c:axId val="81879199"/>
        <c:axId val="47636179"/>
      </c:barChart>
      <c:catAx>
        <c:axId val="818791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Expiry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636179"/>
        <c:crosses val="autoZero"/>
        <c:auto val="1"/>
        <c:lblAlgn val="ctr"/>
        <c:lblOffset val="100"/>
        <c:noMultiLvlLbl val="0"/>
      </c:catAx>
      <c:valAx>
        <c:axId val="476361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Net Qty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8791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0</xdr:rowOff>
    </xdr:from>
    <xdr:to>
      <xdr:col>12</xdr:col>
      <xdr:colOff>507600</xdr:colOff>
      <xdr:row>18</xdr:row>
      <xdr:rowOff>32760</xdr:rowOff>
    </xdr:to>
    <xdr:graphicFrame>
      <xdr:nvGraphicFramePr>
        <xdr:cNvPr id="1" name="Chart 1"/>
        <xdr:cNvGraphicFramePr/>
      </xdr:nvGraphicFramePr>
      <xdr:xfrm>
        <a:off x="3481560" y="762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136</v>
      </c>
      <c r="C2" s="0" t="n">
        <v>-1</v>
      </c>
    </row>
    <row r="3" customFormat="false" ht="15" hidden="false" customHeight="false" outlineLevel="0" collapsed="false">
      <c r="A3" s="0" t="s">
        <v>3</v>
      </c>
      <c r="B3" s="0" t="n">
        <v>138</v>
      </c>
      <c r="C3" s="0" t="n">
        <v>1</v>
      </c>
    </row>
    <row r="4" customFormat="false" ht="15" hidden="false" customHeight="false" outlineLevel="0" collapsed="false">
      <c r="A4" s="0" t="s">
        <v>4</v>
      </c>
      <c r="B4" s="0" t="n">
        <v>136</v>
      </c>
      <c r="C4" s="0" t="n">
        <v>1</v>
      </c>
    </row>
    <row r="5" customFormat="false" ht="15" hidden="false" customHeight="false" outlineLevel="0" collapsed="false">
      <c r="A5" s="0" t="s">
        <v>5</v>
      </c>
      <c r="B5" s="0" t="n">
        <v>138</v>
      </c>
      <c r="C5" s="0" t="n">
        <v>1</v>
      </c>
    </row>
    <row r="6" customFormat="false" ht="15" hidden="false" customHeight="false" outlineLevel="0" collapsed="false">
      <c r="A6" s="0" t="s">
        <v>6</v>
      </c>
      <c r="B6" s="0" t="n">
        <v>135</v>
      </c>
      <c r="C6" s="0" t="n">
        <v>1</v>
      </c>
    </row>
    <row r="7" customFormat="false" ht="15" hidden="false" customHeight="false" outlineLevel="0" collapsed="false">
      <c r="A7" s="0" t="s">
        <v>6</v>
      </c>
      <c r="B7" s="0" t="n">
        <v>140</v>
      </c>
      <c r="C7" s="0" t="n">
        <v>2</v>
      </c>
    </row>
    <row r="8" customFormat="false" ht="15" hidden="false" customHeight="false" outlineLevel="0" collapsed="false">
      <c r="A8" s="0" t="s">
        <v>7</v>
      </c>
      <c r="B8" s="0" t="n">
        <v>130</v>
      </c>
      <c r="C8" s="0" t="n">
        <v>6</v>
      </c>
    </row>
    <row r="9" customFormat="false" ht="15" hidden="false" customHeight="false" outlineLevel="0" collapsed="false">
      <c r="A9" s="0" t="s">
        <v>7</v>
      </c>
      <c r="B9" s="0" t="n">
        <v>138</v>
      </c>
      <c r="C9" s="0" t="n">
        <v>-4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3.37"/>
  </cols>
  <sheetData>
    <row r="1" customFormat="false" ht="15" hidden="false" customHeight="false" outlineLevel="0" collapsed="false">
      <c r="A1" s="0" t="s">
        <v>8</v>
      </c>
      <c r="B1" s="0" t="s">
        <v>9</v>
      </c>
    </row>
    <row r="2" customFormat="false" ht="15" hidden="false" customHeight="false" outlineLevel="0" collapsed="false">
      <c r="A2" s="0" t="s">
        <v>10</v>
      </c>
      <c r="B2" s="0" t="n">
        <f aca="false">SUMPRODUCT(ABS(Positions!C2:C9))</f>
        <v>17</v>
      </c>
    </row>
    <row r="3" customFormat="false" ht="15" hidden="false" customHeight="false" outlineLevel="0" collapsed="false">
      <c r="A3" s="0" t="s">
        <v>11</v>
      </c>
      <c r="B3" s="0" t="n">
        <f aca="false">SUM(Positions!C2:C9)</f>
        <v>7</v>
      </c>
    </row>
    <row r="5" customFormat="false" ht="15" hidden="false" customHeight="false" outlineLevel="0" collapsed="false">
      <c r="A5" s="0" t="s">
        <v>0</v>
      </c>
      <c r="B5" s="0" t="s">
        <v>12</v>
      </c>
    </row>
    <row r="6" customFormat="false" ht="15" hidden="false" customHeight="false" outlineLevel="0" collapsed="false">
      <c r="A6" s="0" t="s">
        <v>3</v>
      </c>
      <c r="B6" s="0" t="n">
        <f aca="false">SUMIF(Positions!A:A,"10-12-25",Positions!C:C)</f>
        <v>0</v>
      </c>
    </row>
    <row r="7" customFormat="false" ht="15" hidden="false" customHeight="false" outlineLevel="0" collapsed="false">
      <c r="A7" s="0" t="s">
        <v>4</v>
      </c>
      <c r="B7" s="0" t="n">
        <f aca="false">SUMIF(Positions!A:A,"11-12-25",Positions!C:C)</f>
        <v>1</v>
      </c>
    </row>
    <row r="8" customFormat="false" ht="15" hidden="false" customHeight="false" outlineLevel="0" collapsed="false">
      <c r="A8" s="0" t="s">
        <v>5</v>
      </c>
      <c r="B8" s="0" t="n">
        <f aca="false">SUMIF(Positions!A:A,"12-12-25",Positions!C:C)</f>
        <v>1</v>
      </c>
    </row>
    <row r="9" customFormat="false" ht="15" hidden="false" customHeight="false" outlineLevel="0" collapsed="false">
      <c r="A9" s="0" t="s">
        <v>6</v>
      </c>
      <c r="B9" s="0" t="n">
        <f aca="false">SUMIF(Positions!A:A,"19-12-25",Positions!C:C)</f>
        <v>3</v>
      </c>
    </row>
    <row r="10" customFormat="false" ht="15" hidden="false" customHeight="false" outlineLevel="0" collapsed="false">
      <c r="A10" s="0" t="s">
        <v>7</v>
      </c>
      <c r="B10" s="0" t="n">
        <f aca="false">SUMIF(Positions!A:A,"26-12-25",Positions!C:C)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6.83"/>
    <col collapsed="false" customWidth="true" hidden="false" outlineLevel="0" max="3" min="3" style="0" width="25.18"/>
    <col collapsed="false" customWidth="true" hidden="false" outlineLevel="0" max="4" min="4" style="0" width="16.27"/>
    <col collapsed="false" customWidth="true" hidden="false" outlineLevel="0" max="6" min="6" style="0" width="16.55"/>
  </cols>
  <sheetData>
    <row r="1" customFormat="false" ht="12.8" hidden="false" customHeight="false" outlineLevel="0" collapsed="false">
      <c r="B1" s="0" t="s">
        <v>13</v>
      </c>
      <c r="C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</row>
    <row r="2" customFormat="false" ht="35.05" hidden="false" customHeight="false" outlineLevel="0" collapsed="false">
      <c r="B2" s="0" t="s">
        <v>20</v>
      </c>
      <c r="C2" s="1" t="s">
        <v>21</v>
      </c>
      <c r="D2" s="1" t="s">
        <v>22</v>
      </c>
      <c r="E2" s="0" t="s">
        <v>23</v>
      </c>
      <c r="F2" s="0" t="s">
        <v>24</v>
      </c>
    </row>
    <row r="3" customFormat="false" ht="13.8" hidden="false" customHeight="false" outlineLevel="0" collapsed="false">
      <c r="G3" s="0" t="s">
        <v>25</v>
      </c>
      <c r="H3" s="2" t="s">
        <v>26</v>
      </c>
      <c r="I3" s="0" t="n">
        <v>4</v>
      </c>
    </row>
    <row r="4" customFormat="false" ht="13.8" hidden="false" customHeight="false" outlineLevel="0" collapsed="false">
      <c r="G4" s="0" t="s">
        <v>27</v>
      </c>
      <c r="H4" s="2"/>
      <c r="I4" s="0" t="n">
        <v>4</v>
      </c>
    </row>
  </sheetData>
  <mergeCells count="1">
    <mergeCell ref="H3:H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2025-12-10T02:03:26Z</dcterms:created>
  <dc:creator>openpyxl</dc:creator>
  <dc:description/>
  <dc:language>en-US</dc:language>
  <cp:lastModifiedBy/>
  <dcterms:modified xsi:type="dcterms:W3CDTF">2025-12-10T04:37:32Z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