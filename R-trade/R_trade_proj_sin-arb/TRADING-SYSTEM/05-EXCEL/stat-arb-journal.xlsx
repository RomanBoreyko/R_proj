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Калькулятор" sheetId="1" state="visible" r:id="rId3"/>
    <sheet name="Журнал" sheetId="2" state="visible" r:id="rId4"/>
    <sheet name="Сводка" sheetId="3" state="visible" r:id="rId5"/>
    <sheet name="Задач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<sst xmlns="http://schemas.openxmlformats.org/spreadsheetml/2006/main" count="192" uniqueCount="159">
  <si>
    <t xml:space="preserve">СТАТ-АРБ — КАЛЬКУЛЯТОР (кросс-венью спред)</t>
  </si>
  <si>
    <t xml:space="preserve">Жёлтое = ввод (синий шрифт). Чёрное = формула. Зеркалит вкладку «Стат-арб 🔱».</t>
  </si>
  <si>
    <t xml:space="preserve">ПАРАМЕТР</t>
  </si>
  <si>
    <t xml:space="preserve">Нога A</t>
  </si>
  <si>
    <t xml:space="preserve">Нога B</t>
  </si>
  <si>
    <t xml:space="preserve">Метка / тикер</t>
  </si>
  <si>
    <t xml:space="preserve">XAUTUSDT.bybit</t>
  </si>
  <si>
    <t xml:space="preserve">XAUEUR.infra</t>
  </si>
  <si>
    <t xml:space="preserve">Площадка</t>
  </si>
  <si>
    <t xml:space="preserve">Bybit</t>
  </si>
  <si>
    <t xml:space="preserve">Infra Capital</t>
  </si>
  <si>
    <t xml:space="preserve">Цена</t>
  </si>
  <si>
    <t xml:space="preserve">FX → USD</t>
  </si>
  <si>
    <t xml:space="preserve">$ / пункт</t>
  </si>
  <si>
    <t xml:space="preserve">Вола %</t>
  </si>
  <si>
    <t xml:space="preserve">TV-символ</t>
  </si>
  <si>
    <t xml:space="preserve">OANDA:XAUUSD</t>
  </si>
  <si>
    <t xml:space="preserve">OANDA:XAUEUR*FX_IDC:EURUSD</t>
  </si>
  <si>
    <t xml:space="preserve">Цена в USD</t>
  </si>
  <si>
    <t xml:space="preserve">Ноционал / ед, $</t>
  </si>
  <si>
    <t xml:space="preserve">ПАРАМЕТРЫ</t>
  </si>
  <si>
    <t xml:space="preserve">Метод ратио</t>
  </si>
  <si>
    <t xml:space="preserve">notional</t>
  </si>
  <si>
    <t xml:space="preserve">β ручной (ед B на ед A)</t>
  </si>
  <si>
    <t xml:space="preserve">Капитал / сторона, $</t>
  </si>
  <si>
    <t xml:space="preserve">Хедж-ратио h (ед B на 1 A)</t>
  </si>
  <si>
    <t xml:space="preserve">Units A</t>
  </si>
  <si>
    <t xml:space="preserve">Units B</t>
  </si>
  <si>
    <t xml:space="preserve">Ноционал A, $</t>
  </si>
  <si>
    <t xml:space="preserve">Ноционал B, $</t>
  </si>
  <si>
    <t xml:space="preserve">СИГНАЛ</t>
  </si>
  <si>
    <t xml:space="preserve">Режим (diff/ratio/pct)</t>
  </si>
  <si>
    <t xml:space="preserve">diff</t>
  </si>
  <si>
    <t xml:space="preserve">Спред авто</t>
  </si>
  <si>
    <t xml:space="preserve">Спред сейчас (пусто=авто)</t>
  </si>
  <si>
    <t xml:space="preserve">Спред используемый</t>
  </si>
  <si>
    <t xml:space="preserve">μ среднее</t>
  </si>
  <si>
    <t xml:space="preserve">σ спреда</t>
  </si>
  <si>
    <t xml:space="preserve">Порог Z</t>
  </si>
  <si>
    <t xml:space="preserve">Z-score</t>
  </si>
  <si>
    <t xml:space="preserve">P&amp;L цель к μ, $</t>
  </si>
  <si>
    <t xml:space="preserve">TV-ФОРМУЛА</t>
  </si>
  <si>
    <t xml:space="preserve">Формула спреда</t>
  </si>
  <si>
    <t xml:space="preserve">→ вставь как символ в TradingView; снимай μ/σ с этого графика</t>
  </si>
  <si>
    <t xml:space="preserve">Дата</t>
  </si>
  <si>
    <t xml:space="preserve">Пара</t>
  </si>
  <si>
    <t xml:space="preserve">Класс актива</t>
  </si>
  <si>
    <t xml:space="preserve">Площ. A</t>
  </si>
  <si>
    <t xml:space="preserve">Площ. B</t>
  </si>
  <si>
    <t xml:space="preserve">Метод</t>
  </si>
  <si>
    <t xml:space="preserve">Направление</t>
  </si>
  <si>
    <t xml:space="preserve">Хедж-ратио</t>
  </si>
  <si>
    <t xml:space="preserve">Спред вход</t>
  </si>
  <si>
    <t xml:space="preserve">μ</t>
  </si>
  <si>
    <t xml:space="preserve">σ</t>
  </si>
  <si>
    <t xml:space="preserve">Z вход</t>
  </si>
  <si>
    <t xml:space="preserve">Ноционал/стор $</t>
  </si>
  <si>
    <t xml:space="preserve">Время вход</t>
  </si>
  <si>
    <t xml:space="preserve">Спред выход</t>
  </si>
  <si>
    <t xml:space="preserve">Время выход</t>
  </si>
  <si>
    <t xml:space="preserve">Реализ.P&amp;L $</t>
  </si>
  <si>
    <t xml:space="preserve">Фи Bybit $</t>
  </si>
  <si>
    <t xml:space="preserve">Своп/фи CFD $</t>
  </si>
  <si>
    <t xml:space="preserve">Нетто P&amp;L $</t>
  </si>
  <si>
    <t xml:space="preserve">Статус</t>
  </si>
  <si>
    <t xml:space="preserve">Заметки</t>
  </si>
  <si>
    <t xml:space="preserve">2026-06-30</t>
  </si>
  <si>
    <t xml:space="preserve">XAUT/XAUEUR</t>
  </si>
  <si>
    <t xml:space="preserve">Золото</t>
  </si>
  <si>
    <t xml:space="preserve">Infra</t>
  </si>
  <si>
    <t xml:space="preserve">ШОРТ A / ЛОНГ B</t>
  </si>
  <si>
    <t xml:space="preserve">08:20</t>
  </si>
  <si>
    <t xml:space="preserve">тест-сетап</t>
  </si>
  <si>
    <t xml:space="preserve">СВОДКА</t>
  </si>
  <si>
    <t xml:space="preserve">Всего сетапов</t>
  </si>
  <si>
    <t xml:space="preserve">Открыто</t>
  </si>
  <si>
    <t xml:space="preserve">Закрыто</t>
  </si>
  <si>
    <t xml:space="preserve">Выигрышных</t>
  </si>
  <si>
    <t xml:space="preserve">Win rate</t>
  </si>
  <si>
    <t xml:space="preserve">Нетто P&amp;L, $</t>
  </si>
  <si>
    <t xml:space="preserve">Валовой P&amp;L, $</t>
  </si>
  <si>
    <t xml:space="preserve">Сумма фи (Bybit+CFD), $</t>
  </si>
  <si>
    <t xml:space="preserve">Средний Z входа (закрытых)</t>
  </si>
  <si>
    <t xml:space="preserve">Лучший сетап, $</t>
  </si>
  <si>
    <t xml:space="preserve">Худший сетап, $</t>
  </si>
  <si>
    <t xml:space="preserve">P&amp;L по классу актива (заполни классы в Журнале, столбец C):</t>
  </si>
  <si>
    <t xml:space="preserve">Серебро</t>
  </si>
  <si>
    <t xml:space="preserve">Платина</t>
  </si>
  <si>
    <t xml:space="preserve">BTC</t>
  </si>
  <si>
    <t xml:space="preserve">ETH</t>
  </si>
  <si>
    <t xml:space="preserve">Валюта</t>
  </si>
  <si>
    <t xml:space="preserve">ЗАДАЧИ — триангулярный стат-арб (детсад → практик)</t>
  </si>
  <si>
    <t xml:space="preserve">Вписывай жёлтый «Твой ответ» → ✓ загорится само (допуск ±1%). Правильный ответ скрыт в столбце G — разверни, только если застрял.</t>
  </si>
  <si>
    <t xml:space="preserve">№</t>
  </si>
  <si>
    <t xml:space="preserve">Уровень</t>
  </si>
  <si>
    <t xml:space="preserve">Вопрос</t>
  </si>
  <si>
    <t xml:space="preserve">Твой ответ</t>
  </si>
  <si>
    <t xml:space="preserve">✓</t>
  </si>
  <si>
    <t xml:space="preserve">Подсказка / формула</t>
  </si>
  <si>
    <t xml:space="preserve">Ответ</t>
  </si>
  <si>
    <t xml:space="preserve">🧸 Детсад</t>
  </si>
  <si>
    <t xml:space="preserve">1 EUR = 1.08 USD. Сколько USD за 50 EUR?</t>
  </si>
  <si>
    <t xml:space="preserve">умножь курс на количество</t>
  </si>
  <si>
    <t xml:space="preserve">1 USD = 150 JPY. Сколько JPY за 100 USD?</t>
  </si>
  <si>
    <t xml:space="preserve">умножь</t>
  </si>
  <si>
    <t xml:space="preserve">1 EUR = 1.08 USD и 1 USD = 150 JPY. Сколько JPY за 1 EUR через доллар?</t>
  </si>
  <si>
    <t xml:space="preserve">перемножь два курса = синтетический EURJPY</t>
  </si>
  <si>
    <t xml:space="preserve">У тебя 16 200 JPY, курс EURJPY = 162. Сколько это EUR?</t>
  </si>
  <si>
    <t xml:space="preserve">дели сумму на курс</t>
  </si>
  <si>
    <t xml:space="preserve">Старт 100 EUR → доллары (×1.08) → йены (×150) → назад в EUR по EURJPY=162.30. Сколько EUR в конце? (&lt;100 = потерял)</t>
  </si>
  <si>
    <t xml:space="preserve">умножай при продаже, дели при выкупе</t>
  </si>
  <si>
    <t xml:space="preserve">🎒 Школа</t>
  </si>
  <si>
    <t xml:space="preserve">Синтетика EURJPY = 1.08×150. Прямая котировка = 162.30. Гэп в пунктах (йенах)?</t>
  </si>
  <si>
    <t xml:space="preserve">прямая − синтетика</t>
  </si>
  <si>
    <t xml:space="preserve">Тот же гэп в процентах от синтетики?</t>
  </si>
  <si>
    <t xml:space="preserve">(прямая/синт − 1)×100</t>
  </si>
  <si>
    <t xml:space="preserve">EURJPY с 2 знаками, 1 пункт = 0.01. Гэп 0.30 = сколько пунктов?</t>
  </si>
  <si>
    <t xml:space="preserve">дели гэп на размер пункта</t>
  </si>
  <si>
    <t xml:space="preserve">Круг проходит 3 ноги, каждая 0.04% туда-обратно. Сколько % съест весь круг?</t>
  </si>
  <si>
    <t xml:space="preserve">сложи издержки трёх ног</t>
  </si>
  <si>
    <t xml:space="preserve">Край круга 0.185% против издержек 0.12%. Сколько нетто остаётся, %?</t>
  </si>
  <si>
    <t xml:space="preserve">край − издержки; &gt;0 = живой</t>
  </si>
  <si>
    <t xml:space="preserve">Лог-остаток x = ln(162.30) − ln(1.08) − ln(150). Посчитай.</t>
  </si>
  <si>
    <t xml:space="preserve">натуральный лог, знаки (+,−,−)</t>
  </si>
  <si>
    <t xml:space="preserve">🎓 Универ</t>
  </si>
  <si>
    <t xml:space="preserve">Коинтегрирующий вектор на (ln EURJPY, ln EURUSD, ln USDJPY)? Три числа.</t>
  </si>
  <si>
    <t xml:space="preserve">устно</t>
  </si>
  <si>
    <t xml:space="preserve">из тождества c=e·j → ln c − ln e − ln j = 0</t>
  </si>
  <si>
    <t xml:space="preserve">(1; -1; -1)</t>
  </si>
  <si>
    <t xml:space="preserve">Лонг 100 000 EUR ноционала в EURJPY. Какой USD-ноционал в EURUSD-ноге обнуляет EUR? (×1.08)</t>
  </si>
  <si>
    <t xml:space="preserve">EUR-ноционал × курс EURUSD</t>
  </si>
  <si>
    <t xml:space="preserve">Та же корзина: JPY-ноционал в USDJPY-ноге? (EUR × 1.08 × 150)</t>
  </si>
  <si>
    <t xml:space="preserve">прогон по цепочке валют 1 : e : e·j</t>
  </si>
  <si>
    <t xml:space="preserve">Остаток: μ=0, σ=0.0003 (лог), текущий x=0.0008. z-score?</t>
  </si>
  <si>
    <t xml:space="preserve">(x − μ) / σ</t>
  </si>
  <si>
    <t xml:space="preserve">Порог входа z=2, текущий z=2.667 — сигнал есть? (1=да, 0=нет)</t>
  </si>
  <si>
    <t xml:space="preserve">сравни |z| с порогом</t>
  </si>
  <si>
    <t xml:space="preserve">OU-процесс, скорость возврата κ=0.5 в минуту. Полупериод возврата (мин)?</t>
  </si>
  <si>
    <t xml:space="preserve">half-life = ln2 / κ</t>
  </si>
  <si>
    <t xml:space="preserve">Лог-остаток обратно в %: x=0.001849 → (e^x − 1)×100 = ?</t>
  </si>
  <si>
    <t xml:space="preserve">exp(x) − 1, ×100</t>
  </si>
  <si>
    <t xml:space="preserve">Почему σ остатка (0.0003) ≪ σ ноги (~0.01)? Словами.</t>
  </si>
  <si>
    <t xml:space="preserve">: Var(a−b−c) при корреляции →1 стремится к 0</t>
  </si>
  <si>
    <t xml:space="preserve">ноги коинтегрированы (ходят вместе) → дисперсии в комбинации (1,−1,−1) почти гасятся</t>
  </si>
  <si>
    <t xml:space="preserve">💼 Практик</t>
  </si>
  <si>
    <t xml:space="preserve">Круг по стакану: продаёшь EUR по EURUSD bid 1.0800 → USD по USDJPY bid 150.00 → выкуп EUR по EURJPY ask 162.40. Сколько EUR на 1 EUR?</t>
  </si>
  <si>
    <t xml:space="preserve">перемножь исполняемые курсы; выкуп = деление на ask</t>
  </si>
  <si>
    <t xml:space="preserve">Тот круг — сколько потерял, %?</t>
  </si>
  <si>
    <t xml:space="preserve">(результат − 1)×100; минус = убыток (издержки съели)</t>
  </si>
  <si>
    <t xml:space="preserve">Кросс-венью: EURJPY на площадке A = 162.30, на B = 162.10. Базис в пунктах?</t>
  </si>
  <si>
    <t xml:space="preserve">разница цены ОДНОЙ пары на двух площадках — вот где край живёт</t>
  </si>
  <si>
    <t xml:space="preserve">CIP-форвард EURUSD на год: спот 1.0800, r_USD=5%, r_EUR=3%. Форвард = спот×(1+r_USD)/(1+r_EUR).</t>
  </si>
  <si>
    <t xml:space="preserve">паритет покрытых процентных ставок</t>
  </si>
  <si>
    <t xml:space="preserve">Рыночный форвард = 1.0980. Кросс-валютный базис = рынок − CIP-форвард. Посчитай.</t>
  </si>
  <si>
    <t xml:space="preserve">market − CIP = xccy basis, реальный край банковских десков</t>
  </si>
  <si>
    <t xml:space="preserve">Цикл 4 курсов: EUR→USD 1.08, USD→JPY 150, JPY→GBP 0.0053, GBP→EUR 1.16. Произведение по кругу?</t>
  </si>
  <si>
    <t xml:space="preserve">произведение по замкнутому циклу; ≠1 = арбитраж (&gt;1 прибыль). Это Bellman–Ford</t>
  </si>
  <si>
    <t xml:space="preserve">Годовой Шарп: край 2 б.п./цикл, σ 3 б.п., 50 циклов/день, 252 дня. Sharpe = (2/3)×√(50×252).</t>
  </si>
  <si>
    <t xml:space="preserve">Sharpe = средн/σ × √(сделок в год). Заоблачный → оттого за край дерётся HFT; в ликвиде он ≈0 после издержек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</si>
</sst>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000"/>
    <numFmt numFmtId="167" formatCode="0.0"/>
    <numFmt numFmtId="168" formatCode="\$#,##0.00"/>
    <numFmt numFmtId="169" formatCode="\$#,##0"/>
    <numFmt numFmtId="170" formatCode="0.00"/>
    <numFmt numFmtId="171" formatCode="0"/>
    <numFmt numFmtId="172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"/>
    <col collapsed="false" customWidth="true" hidden="false" outlineLevel="0" max="4" min="3" style="0" width="26"/>
    <col collapsed="false" customWidth="true" hidden="false" outlineLevel="0" max="5" min="5" style="0" width="3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s">
        <v>3</v>
      </c>
      <c r="D3" s="4" t="s">
        <v>4</v>
      </c>
    </row>
    <row r="4" customFormat="false" ht="15" hidden="false" customHeight="false" outlineLevel="0" collapsed="false">
      <c r="A4" s="5" t="s">
        <v>5</v>
      </c>
      <c r="C4" s="6" t="s">
        <v>6</v>
      </c>
      <c r="D4" s="6" t="s">
        <v>7</v>
      </c>
    </row>
    <row r="5" customFormat="false" ht="15" hidden="false" customHeight="false" outlineLevel="0" collapsed="false">
      <c r="A5" s="5" t="s">
        <v>8</v>
      </c>
      <c r="C5" s="6" t="s">
        <v>9</v>
      </c>
      <c r="D5" s="6" t="s">
        <v>10</v>
      </c>
    </row>
    <row r="6" customFormat="false" ht="15" hidden="false" customHeight="false" outlineLevel="0" collapsed="false">
      <c r="A6" s="5" t="s">
        <v>11</v>
      </c>
      <c r="C6" s="7" t="n">
        <v>4021.2</v>
      </c>
      <c r="D6" s="7" t="n">
        <v>3724</v>
      </c>
    </row>
    <row r="7" customFormat="false" ht="15" hidden="false" customHeight="false" outlineLevel="0" collapsed="false">
      <c r="A7" s="5" t="s">
        <v>12</v>
      </c>
      <c r="C7" s="8" t="n">
        <v>1</v>
      </c>
      <c r="D7" s="8" t="n">
        <v>1.08</v>
      </c>
    </row>
    <row r="8" customFormat="false" ht="15" hidden="false" customHeight="false" outlineLevel="0" collapsed="false">
      <c r="A8" s="5" t="s">
        <v>13</v>
      </c>
      <c r="C8" s="8" t="n">
        <v>1</v>
      </c>
      <c r="D8" s="8" t="n">
        <v>1</v>
      </c>
    </row>
    <row r="9" customFormat="false" ht="15" hidden="false" customHeight="false" outlineLevel="0" collapsed="false">
      <c r="A9" s="5" t="s">
        <v>14</v>
      </c>
      <c r="C9" s="9" t="n">
        <v>15</v>
      </c>
      <c r="D9" s="9" t="n">
        <v>15</v>
      </c>
    </row>
    <row r="10" customFormat="false" ht="15" hidden="false" customHeight="false" outlineLevel="0" collapsed="false">
      <c r="A10" s="5" t="s">
        <v>15</v>
      </c>
      <c r="C10" s="6" t="s">
        <v>16</v>
      </c>
      <c r="D10" s="6" t="s">
        <v>17</v>
      </c>
    </row>
    <row r="11" customFormat="false" ht="15" hidden="false" customHeight="false" outlineLevel="0" collapsed="false">
      <c r="A11" s="5" t="s">
        <v>18</v>
      </c>
      <c r="C11" s="10" t="n">
        <f aca="false">C6*C7</f>
        <v>4021.2</v>
      </c>
      <c r="D11" s="10" t="n">
        <f aca="false">D6*D7</f>
        <v>4021.92</v>
      </c>
    </row>
    <row r="12" customFormat="false" ht="15" hidden="false" customHeight="false" outlineLevel="0" collapsed="false">
      <c r="A12" s="5" t="s">
        <v>19</v>
      </c>
      <c r="C12" s="11" t="n">
        <f aca="false">C11*C8</f>
        <v>4021.2</v>
      </c>
      <c r="D12" s="11" t="n">
        <f aca="false">D11*D8</f>
        <v>4021.92</v>
      </c>
    </row>
    <row r="14" customFormat="false" ht="15" hidden="false" customHeight="false" outlineLevel="0" collapsed="false">
      <c r="A14" s="3" t="s">
        <v>20</v>
      </c>
      <c r="C14" s="12"/>
      <c r="D14" s="12"/>
    </row>
    <row r="15" customFormat="false" ht="15" hidden="false" customHeight="false" outlineLevel="0" collapsed="false">
      <c r="A15" s="5" t="s">
        <v>21</v>
      </c>
      <c r="C15" s="6" t="s">
        <v>22</v>
      </c>
      <c r="D15" s="13"/>
    </row>
    <row r="16" customFormat="false" ht="15" hidden="false" customHeight="false" outlineLevel="0" collapsed="false">
      <c r="A16" s="5" t="s">
        <v>23</v>
      </c>
      <c r="C16" s="8" t="n">
        <v>1</v>
      </c>
      <c r="D16" s="13"/>
    </row>
    <row r="17" customFormat="false" ht="15" hidden="false" customHeight="false" outlineLevel="0" collapsed="false">
      <c r="A17" s="5" t="s">
        <v>24</v>
      </c>
      <c r="C17" s="14" t="n">
        <v>1000</v>
      </c>
      <c r="D17" s="13"/>
    </row>
    <row r="18" customFormat="false" ht="15" hidden="false" customHeight="false" outlineLevel="0" collapsed="false">
      <c r="A18" s="5" t="s">
        <v>25</v>
      </c>
      <c r="C18" s="15" t="n">
        <f aca="false">IF(C15="notional",C12/D12,IF(C15="vol",(C12*C9)/(D12*D9),C16))</f>
        <v>0.999820981023989</v>
      </c>
      <c r="D18" s="13"/>
    </row>
    <row r="19" customFormat="false" ht="15" hidden="false" customHeight="false" outlineLevel="0" collapsed="false">
      <c r="A19" s="5" t="s">
        <v>26</v>
      </c>
      <c r="C19" s="15" t="n">
        <f aca="false">C17/C12</f>
        <v>0.248681985476972</v>
      </c>
      <c r="D19" s="13"/>
    </row>
    <row r="20" customFormat="false" ht="15" hidden="false" customHeight="false" outlineLevel="0" collapsed="false">
      <c r="A20" s="5" t="s">
        <v>27</v>
      </c>
      <c r="C20" s="15" t="n">
        <f aca="false">C19*C18</f>
        <v>0.24863746668258</v>
      </c>
      <c r="D20" s="13"/>
    </row>
    <row r="21" customFormat="false" ht="15" hidden="false" customHeight="false" outlineLevel="0" collapsed="false">
      <c r="A21" s="5" t="s">
        <v>28</v>
      </c>
      <c r="C21" s="16" t="n">
        <f aca="false">C19*C12</f>
        <v>1000</v>
      </c>
      <c r="D21" s="13"/>
    </row>
    <row r="22" customFormat="false" ht="15" hidden="false" customHeight="false" outlineLevel="0" collapsed="false">
      <c r="A22" s="5" t="s">
        <v>29</v>
      </c>
      <c r="C22" s="16" t="n">
        <f aca="false">C20*D12</f>
        <v>1000</v>
      </c>
      <c r="D22" s="13"/>
    </row>
    <row r="24" customFormat="false" ht="15" hidden="false" customHeight="false" outlineLevel="0" collapsed="false">
      <c r="A24" s="3" t="s">
        <v>30</v>
      </c>
      <c r="C24" s="12"/>
      <c r="D24" s="12"/>
    </row>
    <row r="25" customFormat="false" ht="15" hidden="false" customHeight="false" outlineLevel="0" collapsed="false">
      <c r="A25" s="5" t="s">
        <v>31</v>
      </c>
      <c r="C25" s="6" t="s">
        <v>32</v>
      </c>
      <c r="D25" s="13"/>
    </row>
    <row r="26" customFormat="false" ht="15" hidden="false" customHeight="false" outlineLevel="0" collapsed="false">
      <c r="A26" s="5" t="s">
        <v>33</v>
      </c>
      <c r="C26" s="10" t="n">
        <f aca="false">IF(C25="ratio",C11/D11,IF(C25="pct",(C11/D11-1)*100,C11-C18*D11))</f>
        <v>0</v>
      </c>
      <c r="D26" s="13"/>
    </row>
    <row r="27" customFormat="false" ht="15" hidden="false" customHeight="false" outlineLevel="0" collapsed="false">
      <c r="A27" s="5" t="s">
        <v>34</v>
      </c>
      <c r="C27" s="7"/>
      <c r="D27" s="13"/>
    </row>
    <row r="28" customFormat="false" ht="15" hidden="false" customHeight="false" outlineLevel="0" collapsed="false">
      <c r="A28" s="5" t="s">
        <v>35</v>
      </c>
      <c r="C28" s="10" t="n">
        <f aca="false">IF(C27="",C26,C27)</f>
        <v>0</v>
      </c>
      <c r="D28" s="13"/>
    </row>
    <row r="29" customFormat="false" ht="15" hidden="false" customHeight="false" outlineLevel="0" collapsed="false">
      <c r="A29" s="5" t="s">
        <v>36</v>
      </c>
      <c r="C29" s="7" t="n">
        <v>0</v>
      </c>
      <c r="D29" s="13"/>
    </row>
    <row r="30" customFormat="false" ht="15" hidden="false" customHeight="false" outlineLevel="0" collapsed="false">
      <c r="A30" s="5" t="s">
        <v>37</v>
      </c>
      <c r="C30" s="7" t="n">
        <v>5</v>
      </c>
      <c r="D30" s="13"/>
    </row>
    <row r="31" customFormat="false" ht="15" hidden="false" customHeight="false" outlineLevel="0" collapsed="false">
      <c r="A31" s="5" t="s">
        <v>38</v>
      </c>
      <c r="C31" s="17" t="n">
        <v>2</v>
      </c>
      <c r="D31" s="13"/>
    </row>
    <row r="32" customFormat="false" ht="15" hidden="false" customHeight="false" outlineLevel="0" collapsed="false">
      <c r="A32" s="5" t="s">
        <v>39</v>
      </c>
      <c r="C32" s="18" t="n">
        <f aca="false">IF(C30=0,0,(C28-C29)/C30)</f>
        <v>0</v>
      </c>
      <c r="D32" s="13"/>
    </row>
    <row r="33" customFormat="false" ht="15" hidden="false" customHeight="false" outlineLevel="0" collapsed="false">
      <c r="A33" s="5" t="s">
        <v>30</v>
      </c>
      <c r="C33" s="5" t="str">
        <f aca="false">IF(C32&gt;=C31,"ШОРТ A / ЛОНГ B (спред дорог)",IF(C32&lt;=-C31,"ЛОНГ A / ШОРТ B (спред дёшев)","ждать (внутри полосы)"))</f>
        <v>ждать (внутри полосы)</v>
      </c>
      <c r="D33" s="5"/>
    </row>
    <row r="34" customFormat="false" ht="15" hidden="false" customHeight="false" outlineLevel="0" collapsed="false">
      <c r="A34" s="5" t="s">
        <v>40</v>
      </c>
      <c r="C34" s="11" t="n">
        <f aca="false">IF(C25="diff",ABS(C28-C29)*C19*C8,"оцени по графику")</f>
        <v>0</v>
      </c>
      <c r="D34" s="13"/>
    </row>
    <row r="36" customFormat="false" ht="15" hidden="false" customHeight="false" outlineLevel="0" collapsed="false">
      <c r="A36" s="3" t="s">
        <v>41</v>
      </c>
      <c r="C36" s="12"/>
      <c r="D36" s="12"/>
    </row>
    <row r="37" customFormat="false" ht="15" hidden="false" customHeight="false" outlineLevel="0" collapsed="false">
      <c r="A37" s="5" t="s">
        <v>42</v>
      </c>
      <c r="C37" s="13" t="str">
        <f aca="false">IF(C25="ratio",C10&amp;"/("&amp;D10&amp;")",IF(C25="pct","("&amp;C10&amp;"/("&amp;D10&amp;")-1)*100",C10&amp;" - "&amp;TEXT(C18,"0.0000")&amp;"*("&amp;D10&amp;")"))</f>
        <v>OANDA:XAUUSD - 0.9998*(OANDA:XAUEUR*FX_IDC:EURUSD)</v>
      </c>
      <c r="D37" s="13"/>
    </row>
    <row r="38" customFormat="false" ht="15" hidden="false" customHeight="false" outlineLevel="0" collapsed="false">
      <c r="A38" s="2" t="s">
        <v>43</v>
      </c>
    </row>
  </sheetData>
  <mergeCells count="3">
    <mergeCell ref="A1:D1"/>
    <mergeCell ref="C33:D33"/>
    <mergeCell ref="C37:D37"/>
  </mergeCells>
  <dataValidations count="2">
    <dataValidation allowBlank="false" errorStyle="stop" operator="between" showDropDown="false" showErrorMessage="false" showInputMessage="false" sqref="C15" type="list">
      <formula1>"notional,vol,beta"</formula1>
      <formula2>0</formula2>
    </dataValidation>
    <dataValidation allowBlank="false" errorStyle="stop" operator="between" showDropDown="false" showErrorMessage="false" showInputMessage="false" sqref="C25" type="list">
      <formula1>"diff,ratio,pct"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1" min="10" style="0" width="11"/>
    <col collapsed="false" customWidth="true" hidden="false" outlineLevel="0" max="14" min="12" style="0" width="8"/>
    <col collapsed="false" customWidth="true" hidden="false" outlineLevel="0" max="16" min="15" style="0" width="9"/>
    <col collapsed="false" customWidth="true" hidden="false" outlineLevel="0" max="17" min="17" style="0" width="14"/>
    <col collapsed="false" customWidth="true" hidden="false" outlineLevel="0" max="20" min="18" style="0" width="11"/>
    <col collapsed="false" customWidth="true" hidden="false" outlineLevel="0" max="21" min="21" style="0" width="13"/>
    <col collapsed="false" customWidth="true" hidden="false" outlineLevel="0" max="22" min="22" style="0" width="11"/>
    <col collapsed="false" customWidth="true" hidden="false" outlineLevel="0" max="24" min="23" style="0" width="13"/>
    <col collapsed="false" customWidth="true" hidden="false" outlineLevel="0" max="25" min="25" style="0" width="9"/>
    <col collapsed="false" customWidth="true" hidden="false" outlineLevel="0" max="26" min="26" style="0" width="30"/>
  </cols>
  <sheetData>
    <row r="1" customFormat="false" ht="30" hidden="false" customHeight="true" outlineLevel="0" collapsed="false">
      <c r="A1" s="19" t="s">
        <v>44</v>
      </c>
      <c r="B1" s="19" t="s">
        <v>45</v>
      </c>
      <c r="C1" s="19" t="s">
        <v>46</v>
      </c>
      <c r="D1" s="19" t="s">
        <v>3</v>
      </c>
      <c r="E1" s="19" t="s">
        <v>47</v>
      </c>
      <c r="F1" s="19" t="s">
        <v>4</v>
      </c>
      <c r="G1" s="19" t="s">
        <v>48</v>
      </c>
      <c r="H1" s="19" t="s">
        <v>49</v>
      </c>
      <c r="I1" s="19" t="s">
        <v>50</v>
      </c>
      <c r="J1" s="19" t="s">
        <v>51</v>
      </c>
      <c r="K1" s="19" t="s">
        <v>52</v>
      </c>
      <c r="L1" s="19" t="s">
        <v>53</v>
      </c>
      <c r="M1" s="19" t="s">
        <v>54</v>
      </c>
      <c r="N1" s="19" t="s">
        <v>55</v>
      </c>
      <c r="O1" s="19" t="s">
        <v>26</v>
      </c>
      <c r="P1" s="19" t="s">
        <v>27</v>
      </c>
      <c r="Q1" s="19" t="s">
        <v>56</v>
      </c>
      <c r="R1" s="19" t="s">
        <v>57</v>
      </c>
      <c r="S1" s="19" t="s">
        <v>58</v>
      </c>
      <c r="T1" s="19" t="s">
        <v>59</v>
      </c>
      <c r="U1" s="19" t="s">
        <v>60</v>
      </c>
      <c r="V1" s="19" t="s">
        <v>61</v>
      </c>
      <c r="W1" s="19" t="s">
        <v>62</v>
      </c>
      <c r="X1" s="19" t="s">
        <v>63</v>
      </c>
      <c r="Y1" s="19" t="s">
        <v>64</v>
      </c>
      <c r="Z1" s="19" t="s">
        <v>65</v>
      </c>
    </row>
    <row r="2" customFormat="false" ht="15" hidden="false" customHeight="false" outlineLevel="0" collapsed="false">
      <c r="A2" s="20" t="s">
        <v>66</v>
      </c>
      <c r="B2" s="20" t="s">
        <v>67</v>
      </c>
      <c r="C2" s="20" t="s">
        <v>68</v>
      </c>
      <c r="D2" s="20" t="s">
        <v>6</v>
      </c>
      <c r="E2" s="20" t="s">
        <v>9</v>
      </c>
      <c r="F2" s="20" t="s">
        <v>7</v>
      </c>
      <c r="G2" s="20" t="s">
        <v>69</v>
      </c>
      <c r="H2" s="20" t="s">
        <v>22</v>
      </c>
      <c r="I2" s="20" t="s">
        <v>70</v>
      </c>
      <c r="J2" s="21" t="n">
        <v>1</v>
      </c>
      <c r="K2" s="22" t="n">
        <v>15</v>
      </c>
      <c r="L2" s="22" t="n">
        <v>0</v>
      </c>
      <c r="M2" s="22" t="n">
        <v>5</v>
      </c>
      <c r="N2" s="18" t="n">
        <f aca="false">IF(OR(K2="",M2="",M2=0),"",(K2-L2)/M2)</f>
        <v>3</v>
      </c>
      <c r="O2" s="21" t="n">
        <v>0.2487</v>
      </c>
      <c r="P2" s="21" t="n">
        <v>0.2486</v>
      </c>
      <c r="Q2" s="23" t="n">
        <v>1000</v>
      </c>
      <c r="R2" s="20" t="s">
        <v>71</v>
      </c>
      <c r="S2" s="22"/>
      <c r="T2" s="20"/>
      <c r="U2" s="23"/>
      <c r="V2" s="23" t="n">
        <v>0.2</v>
      </c>
      <c r="W2" s="23" t="n">
        <v>1.5</v>
      </c>
      <c r="X2" s="16" t="str">
        <f aca="false">IF(U2="","",U2-IF(V2="",0,V2)-IF(W2="",0,W2))</f>
        <v/>
      </c>
      <c r="Y2" s="13" t="str">
        <f aca="false">IF(A2="","",IF(S2="","открыт","закрыт"))</f>
        <v>открыт</v>
      </c>
      <c r="Z2" s="20" t="s">
        <v>72</v>
      </c>
    </row>
    <row r="3" customFormat="false" ht="15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1"/>
      <c r="K3" s="22"/>
      <c r="L3" s="22"/>
      <c r="M3" s="22"/>
      <c r="N3" s="18" t="str">
        <f aca="false">IF(OR(K3="",M3="",M3=0),"",(K3-L3)/M3)</f>
        <v/>
      </c>
      <c r="O3" s="21"/>
      <c r="P3" s="21"/>
      <c r="Q3" s="23"/>
      <c r="R3" s="20"/>
      <c r="S3" s="22"/>
      <c r="T3" s="20"/>
      <c r="U3" s="23"/>
      <c r="V3" s="23"/>
      <c r="W3" s="23"/>
      <c r="X3" s="16" t="str">
        <f aca="false">IF(U3="","",U3-IF(V3="",0,V3)-IF(W3="",0,W3))</f>
        <v/>
      </c>
      <c r="Y3" s="13" t="str">
        <f aca="false">IF(A3="","",IF(S3="","открыт","закрыт"))</f>
        <v/>
      </c>
      <c r="Z3" s="20"/>
    </row>
    <row r="4" customFormat="false" ht="15" hidden="false" customHeight="fals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1"/>
      <c r="K4" s="22"/>
      <c r="L4" s="22"/>
      <c r="M4" s="22"/>
      <c r="N4" s="18" t="str">
        <f aca="false">IF(OR(K4="",M4="",M4=0),"",(K4-L4)/M4)</f>
        <v/>
      </c>
      <c r="O4" s="21"/>
      <c r="P4" s="21"/>
      <c r="Q4" s="23"/>
      <c r="R4" s="20"/>
      <c r="S4" s="22"/>
      <c r="T4" s="20"/>
      <c r="U4" s="23"/>
      <c r="V4" s="23"/>
      <c r="W4" s="23"/>
      <c r="X4" s="16" t="str">
        <f aca="false">IF(U4="","",U4-IF(V4="",0,V4)-IF(W4="",0,W4))</f>
        <v/>
      </c>
      <c r="Y4" s="13" t="str">
        <f aca="false">IF(A4="","",IF(S4="","открыт","закрыт"))</f>
        <v/>
      </c>
      <c r="Z4" s="20"/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1"/>
      <c r="K5" s="22"/>
      <c r="L5" s="22"/>
      <c r="M5" s="22"/>
      <c r="N5" s="18" t="str">
        <f aca="false">IF(OR(K5="",M5="",M5=0),"",(K5-L5)/M5)</f>
        <v/>
      </c>
      <c r="O5" s="21"/>
      <c r="P5" s="21"/>
      <c r="Q5" s="23"/>
      <c r="R5" s="20"/>
      <c r="S5" s="22"/>
      <c r="T5" s="20"/>
      <c r="U5" s="23"/>
      <c r="V5" s="23"/>
      <c r="W5" s="23"/>
      <c r="X5" s="16" t="str">
        <f aca="false">IF(U5="","",U5-IF(V5="",0,V5)-IF(W5="",0,W5))</f>
        <v/>
      </c>
      <c r="Y5" s="13" t="str">
        <f aca="false">IF(A5="","",IF(S5="","открыт","закрыт"))</f>
        <v/>
      </c>
      <c r="Z5" s="20"/>
    </row>
    <row r="6" customFormat="false" ht="15" hidden="false" customHeight="false" outlineLevel="0" collapsed="false">
      <c r="A6" s="20"/>
      <c r="B6" s="20"/>
      <c r="C6" s="20"/>
      <c r="D6" s="20"/>
      <c r="E6" s="20"/>
      <c r="F6" s="20"/>
      <c r="G6" s="20"/>
      <c r="H6" s="20"/>
      <c r="I6" s="20"/>
      <c r="J6" s="21"/>
      <c r="K6" s="22"/>
      <c r="L6" s="22"/>
      <c r="M6" s="22"/>
      <c r="N6" s="18" t="str">
        <f aca="false">IF(OR(K6="",M6="",M6=0),"",(K6-L6)/M6)</f>
        <v/>
      </c>
      <c r="O6" s="21"/>
      <c r="P6" s="21"/>
      <c r="Q6" s="23"/>
      <c r="R6" s="20"/>
      <c r="S6" s="22"/>
      <c r="T6" s="20"/>
      <c r="U6" s="23"/>
      <c r="V6" s="23"/>
      <c r="W6" s="23"/>
      <c r="X6" s="16" t="str">
        <f aca="false">IF(U6="","",U6-IF(V6="",0,V6)-IF(W6="",0,W6))</f>
        <v/>
      </c>
      <c r="Y6" s="13" t="str">
        <f aca="false">IF(A6="","",IF(S6="","открыт","закрыт"))</f>
        <v/>
      </c>
      <c r="Z6" s="20"/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0"/>
      <c r="I7" s="20"/>
      <c r="J7" s="21"/>
      <c r="K7" s="22"/>
      <c r="L7" s="22"/>
      <c r="M7" s="22"/>
      <c r="N7" s="18" t="str">
        <f aca="false">IF(OR(K7="",M7="",M7=0),"",(K7-L7)/M7)</f>
        <v/>
      </c>
      <c r="O7" s="21"/>
      <c r="P7" s="21"/>
      <c r="Q7" s="23"/>
      <c r="R7" s="20"/>
      <c r="S7" s="22"/>
      <c r="T7" s="20"/>
      <c r="U7" s="23"/>
      <c r="V7" s="23"/>
      <c r="W7" s="23"/>
      <c r="X7" s="16" t="str">
        <f aca="false">IF(U7="","",U7-IF(V7="",0,V7)-IF(W7="",0,W7))</f>
        <v/>
      </c>
      <c r="Y7" s="13" t="str">
        <f aca="false">IF(A7="","",IF(S7="","открыт","закрыт"))</f>
        <v/>
      </c>
      <c r="Z7" s="20"/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1"/>
      <c r="K8" s="22"/>
      <c r="L8" s="22"/>
      <c r="M8" s="22"/>
      <c r="N8" s="18" t="str">
        <f aca="false">IF(OR(K8="",M8="",M8=0),"",(K8-L8)/M8)</f>
        <v/>
      </c>
      <c r="O8" s="21"/>
      <c r="P8" s="21"/>
      <c r="Q8" s="23"/>
      <c r="R8" s="20"/>
      <c r="S8" s="22"/>
      <c r="T8" s="20"/>
      <c r="U8" s="23"/>
      <c r="V8" s="23"/>
      <c r="W8" s="23"/>
      <c r="X8" s="16" t="str">
        <f aca="false">IF(U8="","",U8-IF(V8="",0,V8)-IF(W8="",0,W8))</f>
        <v/>
      </c>
      <c r="Y8" s="13" t="str">
        <f aca="false">IF(A8="","",IF(S8="","открыт","закрыт"))</f>
        <v/>
      </c>
      <c r="Z8" s="20"/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1"/>
      <c r="K9" s="22"/>
      <c r="L9" s="22"/>
      <c r="M9" s="22"/>
      <c r="N9" s="18" t="str">
        <f aca="false">IF(OR(K9="",M9="",M9=0),"",(K9-L9)/M9)</f>
        <v/>
      </c>
      <c r="O9" s="21"/>
      <c r="P9" s="21"/>
      <c r="Q9" s="23"/>
      <c r="R9" s="20"/>
      <c r="S9" s="22"/>
      <c r="T9" s="20"/>
      <c r="U9" s="23"/>
      <c r="V9" s="23"/>
      <c r="W9" s="23"/>
      <c r="X9" s="16" t="str">
        <f aca="false">IF(U9="","",U9-IF(V9="",0,V9)-IF(W9="",0,W9))</f>
        <v/>
      </c>
      <c r="Y9" s="13" t="str">
        <f aca="false">IF(A9="","",IF(S9="","открыт","закрыт"))</f>
        <v/>
      </c>
      <c r="Z9" s="20"/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1"/>
      <c r="K10" s="22"/>
      <c r="L10" s="22"/>
      <c r="M10" s="22"/>
      <c r="N10" s="18" t="str">
        <f aca="false">IF(OR(K10="",M10="",M10=0),"",(K10-L10)/M10)</f>
        <v/>
      </c>
      <c r="O10" s="21"/>
      <c r="P10" s="21"/>
      <c r="Q10" s="23"/>
      <c r="R10" s="20"/>
      <c r="S10" s="22"/>
      <c r="T10" s="20"/>
      <c r="U10" s="23"/>
      <c r="V10" s="23"/>
      <c r="W10" s="23"/>
      <c r="X10" s="16" t="str">
        <f aca="false">IF(U10="","",U10-IF(V10="",0,V10)-IF(W10="",0,W10))</f>
        <v/>
      </c>
      <c r="Y10" s="13" t="str">
        <f aca="false">IF(A10="","",IF(S10="","открыт","закрыт"))</f>
        <v/>
      </c>
      <c r="Z10" s="20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1"/>
      <c r="K11" s="22"/>
      <c r="L11" s="22"/>
      <c r="M11" s="22"/>
      <c r="N11" s="18" t="str">
        <f aca="false">IF(OR(K11="",M11="",M11=0),"",(K11-L11)/M11)</f>
        <v/>
      </c>
      <c r="O11" s="21"/>
      <c r="P11" s="21"/>
      <c r="Q11" s="23"/>
      <c r="R11" s="20"/>
      <c r="S11" s="22"/>
      <c r="T11" s="20"/>
      <c r="U11" s="23"/>
      <c r="V11" s="23"/>
      <c r="W11" s="23"/>
      <c r="X11" s="16" t="str">
        <f aca="false">IF(U11="","",U11-IF(V11="",0,V11)-IF(W11="",0,W11))</f>
        <v/>
      </c>
      <c r="Y11" s="13" t="str">
        <f aca="false">IF(A11="","",IF(S11="","открыт","закрыт"))</f>
        <v/>
      </c>
      <c r="Z11" s="20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1"/>
      <c r="K12" s="22"/>
      <c r="L12" s="22"/>
      <c r="M12" s="22"/>
      <c r="N12" s="18" t="str">
        <f aca="false">IF(OR(K12="",M12="",M12=0),"",(K12-L12)/M12)</f>
        <v/>
      </c>
      <c r="O12" s="21"/>
      <c r="P12" s="21"/>
      <c r="Q12" s="23"/>
      <c r="R12" s="20"/>
      <c r="S12" s="22"/>
      <c r="T12" s="20"/>
      <c r="U12" s="23"/>
      <c r="V12" s="23"/>
      <c r="W12" s="23"/>
      <c r="X12" s="16" t="str">
        <f aca="false">IF(U12="","",U12-IF(V12="",0,V12)-IF(W12="",0,W12))</f>
        <v/>
      </c>
      <c r="Y12" s="13" t="str">
        <f aca="false">IF(A12="","",IF(S12="","открыт","закрыт"))</f>
        <v/>
      </c>
      <c r="Z12" s="20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1"/>
      <c r="K13" s="22"/>
      <c r="L13" s="22"/>
      <c r="M13" s="22"/>
      <c r="N13" s="18" t="str">
        <f aca="false">IF(OR(K13="",M13="",M13=0),"",(K13-L13)/M13)</f>
        <v/>
      </c>
      <c r="O13" s="21"/>
      <c r="P13" s="21"/>
      <c r="Q13" s="23"/>
      <c r="R13" s="20"/>
      <c r="S13" s="22"/>
      <c r="T13" s="20"/>
      <c r="U13" s="23"/>
      <c r="V13" s="23"/>
      <c r="W13" s="23"/>
      <c r="X13" s="16" t="str">
        <f aca="false">IF(U13="","",U13-IF(V13="",0,V13)-IF(W13="",0,W13))</f>
        <v/>
      </c>
      <c r="Y13" s="13" t="str">
        <f aca="false">IF(A13="","",IF(S13="","открыт","закрыт"))</f>
        <v/>
      </c>
      <c r="Z13" s="20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1"/>
      <c r="K14" s="22"/>
      <c r="L14" s="22"/>
      <c r="M14" s="22"/>
      <c r="N14" s="18" t="str">
        <f aca="false">IF(OR(K14="",M14="",M14=0),"",(K14-L14)/M14)</f>
        <v/>
      </c>
      <c r="O14" s="21"/>
      <c r="P14" s="21"/>
      <c r="Q14" s="23"/>
      <c r="R14" s="20"/>
      <c r="S14" s="22"/>
      <c r="T14" s="20"/>
      <c r="U14" s="23"/>
      <c r="V14" s="23"/>
      <c r="W14" s="23"/>
      <c r="X14" s="16" t="str">
        <f aca="false">IF(U14="","",U14-IF(V14="",0,V14)-IF(W14="",0,W14))</f>
        <v/>
      </c>
      <c r="Y14" s="13" t="str">
        <f aca="false">IF(A14="","",IF(S14="","открыт","закрыт"))</f>
        <v/>
      </c>
      <c r="Z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1"/>
      <c r="K15" s="22"/>
      <c r="L15" s="22"/>
      <c r="M15" s="22"/>
      <c r="N15" s="18" t="str">
        <f aca="false">IF(OR(K15="",M15="",M15=0),"",(K15-L15)/M15)</f>
        <v/>
      </c>
      <c r="O15" s="21"/>
      <c r="P15" s="21"/>
      <c r="Q15" s="23"/>
      <c r="R15" s="20"/>
      <c r="S15" s="22"/>
      <c r="T15" s="20"/>
      <c r="U15" s="23"/>
      <c r="V15" s="23"/>
      <c r="W15" s="23"/>
      <c r="X15" s="16" t="str">
        <f aca="false">IF(U15="","",U15-IF(V15="",0,V15)-IF(W15="",0,W15))</f>
        <v/>
      </c>
      <c r="Y15" s="13" t="str">
        <f aca="false">IF(A15="","",IF(S15="","открыт","закрыт"))</f>
        <v/>
      </c>
      <c r="Z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1"/>
      <c r="K16" s="22"/>
      <c r="L16" s="22"/>
      <c r="M16" s="22"/>
      <c r="N16" s="18" t="str">
        <f aca="false">IF(OR(K16="",M16="",M16=0),"",(K16-L16)/M16)</f>
        <v/>
      </c>
      <c r="O16" s="21"/>
      <c r="P16" s="21"/>
      <c r="Q16" s="23"/>
      <c r="R16" s="20"/>
      <c r="S16" s="22"/>
      <c r="T16" s="20"/>
      <c r="U16" s="23"/>
      <c r="V16" s="23"/>
      <c r="W16" s="23"/>
      <c r="X16" s="16" t="str">
        <f aca="false">IF(U16="","",U16-IF(V16="",0,V16)-IF(W16="",0,W16))</f>
        <v/>
      </c>
      <c r="Y16" s="13" t="str">
        <f aca="false">IF(A16="","",IF(S16="","открыт","закрыт"))</f>
        <v/>
      </c>
      <c r="Z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1"/>
      <c r="K17" s="22"/>
      <c r="L17" s="22"/>
      <c r="M17" s="22"/>
      <c r="N17" s="18" t="str">
        <f aca="false">IF(OR(K17="",M17="",M17=0),"",(K17-L17)/M17)</f>
        <v/>
      </c>
      <c r="O17" s="21"/>
      <c r="P17" s="21"/>
      <c r="Q17" s="23"/>
      <c r="R17" s="20"/>
      <c r="S17" s="22"/>
      <c r="T17" s="20"/>
      <c r="U17" s="23"/>
      <c r="V17" s="23"/>
      <c r="W17" s="23"/>
      <c r="X17" s="16" t="str">
        <f aca="false">IF(U17="","",U17-IF(V17="",0,V17)-IF(W17="",0,W17))</f>
        <v/>
      </c>
      <c r="Y17" s="13" t="str">
        <f aca="false">IF(A17="","",IF(S17="","открыт","закрыт"))</f>
        <v/>
      </c>
      <c r="Z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1"/>
      <c r="K18" s="22"/>
      <c r="L18" s="22"/>
      <c r="M18" s="22"/>
      <c r="N18" s="18" t="str">
        <f aca="false">IF(OR(K18="",M18="",M18=0),"",(K18-L18)/M18)</f>
        <v/>
      </c>
      <c r="O18" s="21"/>
      <c r="P18" s="21"/>
      <c r="Q18" s="23"/>
      <c r="R18" s="20"/>
      <c r="S18" s="22"/>
      <c r="T18" s="20"/>
      <c r="U18" s="23"/>
      <c r="V18" s="23"/>
      <c r="W18" s="23"/>
      <c r="X18" s="16" t="str">
        <f aca="false">IF(U18="","",U18-IF(V18="",0,V18)-IF(W18="",0,W18))</f>
        <v/>
      </c>
      <c r="Y18" s="13" t="str">
        <f aca="false">IF(A18="","",IF(S18="","открыт","закрыт"))</f>
        <v/>
      </c>
      <c r="Z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1"/>
      <c r="K19" s="22"/>
      <c r="L19" s="22"/>
      <c r="M19" s="22"/>
      <c r="N19" s="18" t="str">
        <f aca="false">IF(OR(K19="",M19="",M19=0),"",(K19-L19)/M19)</f>
        <v/>
      </c>
      <c r="O19" s="21"/>
      <c r="P19" s="21"/>
      <c r="Q19" s="23"/>
      <c r="R19" s="20"/>
      <c r="S19" s="22"/>
      <c r="T19" s="20"/>
      <c r="U19" s="23"/>
      <c r="V19" s="23"/>
      <c r="W19" s="23"/>
      <c r="X19" s="16" t="str">
        <f aca="false">IF(U19="","",U19-IF(V19="",0,V19)-IF(W19="",0,W19))</f>
        <v/>
      </c>
      <c r="Y19" s="13" t="str">
        <f aca="false">IF(A19="","",IF(S19="","открыт","закрыт"))</f>
        <v/>
      </c>
      <c r="Z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1"/>
      <c r="K20" s="22"/>
      <c r="L20" s="22"/>
      <c r="M20" s="22"/>
      <c r="N20" s="18" t="str">
        <f aca="false">IF(OR(K20="",M20="",M20=0),"",(K20-L20)/M20)</f>
        <v/>
      </c>
      <c r="O20" s="21"/>
      <c r="P20" s="21"/>
      <c r="Q20" s="23"/>
      <c r="R20" s="20"/>
      <c r="S20" s="22"/>
      <c r="T20" s="20"/>
      <c r="U20" s="23"/>
      <c r="V20" s="23"/>
      <c r="W20" s="23"/>
      <c r="X20" s="16" t="str">
        <f aca="false">IF(U20="","",U20-IF(V20="",0,V20)-IF(W20="",0,W20))</f>
        <v/>
      </c>
      <c r="Y20" s="13" t="str">
        <f aca="false">IF(A20="","",IF(S20="","открыт","закрыт"))</f>
        <v/>
      </c>
      <c r="Z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1"/>
      <c r="K21" s="22"/>
      <c r="L21" s="22"/>
      <c r="M21" s="22"/>
      <c r="N21" s="18" t="str">
        <f aca="false">IF(OR(K21="",M21="",M21=0),"",(K21-L21)/M21)</f>
        <v/>
      </c>
      <c r="O21" s="21"/>
      <c r="P21" s="21"/>
      <c r="Q21" s="23"/>
      <c r="R21" s="20"/>
      <c r="S21" s="22"/>
      <c r="T21" s="20"/>
      <c r="U21" s="23"/>
      <c r="V21" s="23"/>
      <c r="W21" s="23"/>
      <c r="X21" s="16" t="str">
        <f aca="false">IF(U21="","",U21-IF(V21="",0,V21)-IF(W21="",0,W21))</f>
        <v/>
      </c>
      <c r="Y21" s="13" t="str">
        <f aca="false">IF(A21="","",IF(S21="","открыт","закрыт"))</f>
        <v/>
      </c>
      <c r="Z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1"/>
      <c r="K22" s="22"/>
      <c r="L22" s="22"/>
      <c r="M22" s="22"/>
      <c r="N22" s="18" t="str">
        <f aca="false">IF(OR(K22="",M22="",M22=0),"",(K22-L22)/M22)</f>
        <v/>
      </c>
      <c r="O22" s="21"/>
      <c r="P22" s="21"/>
      <c r="Q22" s="23"/>
      <c r="R22" s="20"/>
      <c r="S22" s="22"/>
      <c r="T22" s="20"/>
      <c r="U22" s="23"/>
      <c r="V22" s="23"/>
      <c r="W22" s="23"/>
      <c r="X22" s="16" t="str">
        <f aca="false">IF(U22="","",U22-IF(V22="",0,V22)-IF(W22="",0,W22))</f>
        <v/>
      </c>
      <c r="Y22" s="13" t="str">
        <f aca="false">IF(A22="","",IF(S22="","открыт","закрыт"))</f>
        <v/>
      </c>
      <c r="Z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1"/>
      <c r="K23" s="22"/>
      <c r="L23" s="22"/>
      <c r="M23" s="22"/>
      <c r="N23" s="18" t="str">
        <f aca="false">IF(OR(K23="",M23="",M23=0),"",(K23-L23)/M23)</f>
        <v/>
      </c>
      <c r="O23" s="21"/>
      <c r="P23" s="21"/>
      <c r="Q23" s="23"/>
      <c r="R23" s="20"/>
      <c r="S23" s="22"/>
      <c r="T23" s="20"/>
      <c r="U23" s="23"/>
      <c r="V23" s="23"/>
      <c r="W23" s="23"/>
      <c r="X23" s="16" t="str">
        <f aca="false">IF(U23="","",U23-IF(V23="",0,V23)-IF(W23="",0,W23))</f>
        <v/>
      </c>
      <c r="Y23" s="13" t="str">
        <f aca="false">IF(A23="","",IF(S23="","открыт","закрыт"))</f>
        <v/>
      </c>
      <c r="Z23" s="20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1"/>
      <c r="K24" s="22"/>
      <c r="L24" s="22"/>
      <c r="M24" s="22"/>
      <c r="N24" s="18" t="str">
        <f aca="false">IF(OR(K24="",M24="",M24=0),"",(K24-L24)/M24)</f>
        <v/>
      </c>
      <c r="O24" s="21"/>
      <c r="P24" s="21"/>
      <c r="Q24" s="23"/>
      <c r="R24" s="20"/>
      <c r="S24" s="22"/>
      <c r="T24" s="20"/>
      <c r="U24" s="23"/>
      <c r="V24" s="23"/>
      <c r="W24" s="23"/>
      <c r="X24" s="16" t="str">
        <f aca="false">IF(U24="","",U24-IF(V24="",0,V24)-IF(W24="",0,W24))</f>
        <v/>
      </c>
      <c r="Y24" s="13" t="str">
        <f aca="false">IF(A24="","",IF(S24="","открыт","закрыт"))</f>
        <v/>
      </c>
      <c r="Z24" s="20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1"/>
      <c r="K25" s="22"/>
      <c r="L25" s="22"/>
      <c r="M25" s="22"/>
      <c r="N25" s="18" t="str">
        <f aca="false">IF(OR(K25="",M25="",M25=0),"",(K25-L25)/M25)</f>
        <v/>
      </c>
      <c r="O25" s="21"/>
      <c r="P25" s="21"/>
      <c r="Q25" s="23"/>
      <c r="R25" s="20"/>
      <c r="S25" s="22"/>
      <c r="T25" s="20"/>
      <c r="U25" s="23"/>
      <c r="V25" s="23"/>
      <c r="W25" s="23"/>
      <c r="X25" s="16" t="str">
        <f aca="false">IF(U25="","",U25-IF(V25="",0,V25)-IF(W25="",0,W25))</f>
        <v/>
      </c>
      <c r="Y25" s="13" t="str">
        <f aca="false">IF(A25="","",IF(S25="","открыт","закрыт"))</f>
        <v/>
      </c>
      <c r="Z25" s="20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1"/>
      <c r="K26" s="22"/>
      <c r="L26" s="22"/>
      <c r="M26" s="22"/>
      <c r="N26" s="18" t="str">
        <f aca="false">IF(OR(K26="",M26="",M26=0),"",(K26-L26)/M26)</f>
        <v/>
      </c>
      <c r="O26" s="21"/>
      <c r="P26" s="21"/>
      <c r="Q26" s="23"/>
      <c r="R26" s="20"/>
      <c r="S26" s="22"/>
      <c r="T26" s="20"/>
      <c r="U26" s="23"/>
      <c r="V26" s="23"/>
      <c r="W26" s="23"/>
      <c r="X26" s="16" t="str">
        <f aca="false">IF(U26="","",U26-IF(V26="",0,V26)-IF(W26="",0,W26))</f>
        <v/>
      </c>
      <c r="Y26" s="13" t="str">
        <f aca="false">IF(A26="","",IF(S26="","открыт","закрыт"))</f>
        <v/>
      </c>
      <c r="Z26" s="20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1"/>
      <c r="K27" s="22"/>
      <c r="L27" s="22"/>
      <c r="M27" s="22"/>
      <c r="N27" s="18" t="str">
        <f aca="false">IF(OR(K27="",M27="",M27=0),"",(K27-L27)/M27)</f>
        <v/>
      </c>
      <c r="O27" s="21"/>
      <c r="P27" s="21"/>
      <c r="Q27" s="23"/>
      <c r="R27" s="20"/>
      <c r="S27" s="22"/>
      <c r="T27" s="20"/>
      <c r="U27" s="23"/>
      <c r="V27" s="23"/>
      <c r="W27" s="23"/>
      <c r="X27" s="16" t="str">
        <f aca="false">IF(U27="","",U27-IF(V27="",0,V27)-IF(W27="",0,W27))</f>
        <v/>
      </c>
      <c r="Y27" s="13" t="str">
        <f aca="false">IF(A27="","",IF(S27="","открыт","закрыт"))</f>
        <v/>
      </c>
      <c r="Z27" s="20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1"/>
      <c r="K28" s="22"/>
      <c r="L28" s="22"/>
      <c r="M28" s="22"/>
      <c r="N28" s="18" t="str">
        <f aca="false">IF(OR(K28="",M28="",M28=0),"",(K28-L28)/M28)</f>
        <v/>
      </c>
      <c r="O28" s="21"/>
      <c r="P28" s="21"/>
      <c r="Q28" s="23"/>
      <c r="R28" s="20"/>
      <c r="S28" s="22"/>
      <c r="T28" s="20"/>
      <c r="U28" s="23"/>
      <c r="V28" s="23"/>
      <c r="W28" s="23"/>
      <c r="X28" s="16" t="str">
        <f aca="false">IF(U28="","",U28-IF(V28="",0,V28)-IF(W28="",0,W28))</f>
        <v/>
      </c>
      <c r="Y28" s="13" t="str">
        <f aca="false">IF(A28="","",IF(S28="","открыт","закрыт"))</f>
        <v/>
      </c>
      <c r="Z28" s="20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1"/>
      <c r="K29" s="22"/>
      <c r="L29" s="22"/>
      <c r="M29" s="22"/>
      <c r="N29" s="18" t="str">
        <f aca="false">IF(OR(K29="",M29="",M29=0),"",(K29-L29)/M29)</f>
        <v/>
      </c>
      <c r="O29" s="21"/>
      <c r="P29" s="21"/>
      <c r="Q29" s="23"/>
      <c r="R29" s="20"/>
      <c r="S29" s="22"/>
      <c r="T29" s="20"/>
      <c r="U29" s="23"/>
      <c r="V29" s="23"/>
      <c r="W29" s="23"/>
      <c r="X29" s="16" t="str">
        <f aca="false">IF(U29="","",U29-IF(V29="",0,V29)-IF(W29="",0,W29))</f>
        <v/>
      </c>
      <c r="Y29" s="13" t="str">
        <f aca="false">IF(A29="","",IF(S29="","открыт","закрыт"))</f>
        <v/>
      </c>
      <c r="Z29" s="20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1"/>
      <c r="K30" s="22"/>
      <c r="L30" s="22"/>
      <c r="M30" s="22"/>
      <c r="N30" s="18" t="str">
        <f aca="false">IF(OR(K30="",M30="",M30=0),"",(K30-L30)/M30)</f>
        <v/>
      </c>
      <c r="O30" s="21"/>
      <c r="P30" s="21"/>
      <c r="Q30" s="23"/>
      <c r="R30" s="20"/>
      <c r="S30" s="22"/>
      <c r="T30" s="20"/>
      <c r="U30" s="23"/>
      <c r="V30" s="23"/>
      <c r="W30" s="23"/>
      <c r="X30" s="16" t="str">
        <f aca="false">IF(U30="","",U30-IF(V30="",0,V30)-IF(W30="",0,W30))</f>
        <v/>
      </c>
      <c r="Y30" s="13" t="str">
        <f aca="false">IF(A30="","",IF(S30="","открыт","закрыт"))</f>
        <v/>
      </c>
      <c r="Z30" s="20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1"/>
      <c r="K31" s="22"/>
      <c r="L31" s="22"/>
      <c r="M31" s="22"/>
      <c r="N31" s="18" t="str">
        <f aca="false">IF(OR(K31="",M31="",M31=0),"",(K31-L31)/M31)</f>
        <v/>
      </c>
      <c r="O31" s="21"/>
      <c r="P31" s="21"/>
      <c r="Q31" s="23"/>
      <c r="R31" s="20"/>
      <c r="S31" s="22"/>
      <c r="T31" s="20"/>
      <c r="U31" s="23"/>
      <c r="V31" s="23"/>
      <c r="W31" s="23"/>
      <c r="X31" s="16" t="str">
        <f aca="false">IF(U31="","",U31-IF(V31="",0,V31)-IF(W31="",0,W31))</f>
        <v/>
      </c>
      <c r="Y31" s="13" t="str">
        <f aca="false">IF(A31="","",IF(S31="","открыт","закрыт"))</f>
        <v/>
      </c>
      <c r="Z31" s="20"/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1"/>
      <c r="K32" s="22"/>
      <c r="L32" s="22"/>
      <c r="M32" s="22"/>
      <c r="N32" s="18" t="str">
        <f aca="false">IF(OR(K32="",M32="",M32=0),"",(K32-L32)/M32)</f>
        <v/>
      </c>
      <c r="O32" s="21"/>
      <c r="P32" s="21"/>
      <c r="Q32" s="23"/>
      <c r="R32" s="20"/>
      <c r="S32" s="22"/>
      <c r="T32" s="20"/>
      <c r="U32" s="23"/>
      <c r="V32" s="23"/>
      <c r="W32" s="23"/>
      <c r="X32" s="16" t="str">
        <f aca="false">IF(U32="","",U32-IF(V32="",0,V32)-IF(W32="",0,W32))</f>
        <v/>
      </c>
      <c r="Y32" s="13" t="str">
        <f aca="false">IF(A32="","",IF(S32="","открыт","закрыт"))</f>
        <v/>
      </c>
      <c r="Z32" s="20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1"/>
      <c r="K33" s="22"/>
      <c r="L33" s="22"/>
      <c r="M33" s="22"/>
      <c r="N33" s="18" t="str">
        <f aca="false">IF(OR(K33="",M33="",M33=0),"",(K33-L33)/M33)</f>
        <v/>
      </c>
      <c r="O33" s="21"/>
      <c r="P33" s="21"/>
      <c r="Q33" s="23"/>
      <c r="R33" s="20"/>
      <c r="S33" s="22"/>
      <c r="T33" s="20"/>
      <c r="U33" s="23"/>
      <c r="V33" s="23"/>
      <c r="W33" s="23"/>
      <c r="X33" s="16" t="str">
        <f aca="false">IF(U33="","",U33-IF(V33="",0,V33)-IF(W33="",0,W33))</f>
        <v/>
      </c>
      <c r="Y33" s="13" t="str">
        <f aca="false">IF(A33="","",IF(S33="","открыт","закрыт"))</f>
        <v/>
      </c>
      <c r="Z33" s="20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1"/>
      <c r="K34" s="22"/>
      <c r="L34" s="22"/>
      <c r="M34" s="22"/>
      <c r="N34" s="18" t="str">
        <f aca="false">IF(OR(K34="",M34="",M34=0),"",(K34-L34)/M34)</f>
        <v/>
      </c>
      <c r="O34" s="21"/>
      <c r="P34" s="21"/>
      <c r="Q34" s="23"/>
      <c r="R34" s="20"/>
      <c r="S34" s="22"/>
      <c r="T34" s="20"/>
      <c r="U34" s="23"/>
      <c r="V34" s="23"/>
      <c r="W34" s="23"/>
      <c r="X34" s="16" t="str">
        <f aca="false">IF(U34="","",U34-IF(V34="",0,V34)-IF(W34="",0,W34))</f>
        <v/>
      </c>
      <c r="Y34" s="13" t="str">
        <f aca="false">IF(A34="","",IF(S34="","открыт","закрыт"))</f>
        <v/>
      </c>
      <c r="Z34" s="20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1"/>
      <c r="K35" s="22"/>
      <c r="L35" s="22"/>
      <c r="M35" s="22"/>
      <c r="N35" s="18" t="str">
        <f aca="false">IF(OR(K35="",M35="",M35=0),"",(K35-L35)/M35)</f>
        <v/>
      </c>
      <c r="O35" s="21"/>
      <c r="P35" s="21"/>
      <c r="Q35" s="23"/>
      <c r="R35" s="20"/>
      <c r="S35" s="22"/>
      <c r="T35" s="20"/>
      <c r="U35" s="23"/>
      <c r="V35" s="23"/>
      <c r="W35" s="23"/>
      <c r="X35" s="16" t="str">
        <f aca="false">IF(U35="","",U35-IF(V35="",0,V35)-IF(W35="",0,W35))</f>
        <v/>
      </c>
      <c r="Y35" s="13" t="str">
        <f aca="false">IF(A35="","",IF(S35="","открыт","закрыт"))</f>
        <v/>
      </c>
      <c r="Z35" s="20"/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1"/>
      <c r="K36" s="22"/>
      <c r="L36" s="22"/>
      <c r="M36" s="22"/>
      <c r="N36" s="18" t="str">
        <f aca="false">IF(OR(K36="",M36="",M36=0),"",(K36-L36)/M36)</f>
        <v/>
      </c>
      <c r="O36" s="21"/>
      <c r="P36" s="21"/>
      <c r="Q36" s="23"/>
      <c r="R36" s="20"/>
      <c r="S36" s="22"/>
      <c r="T36" s="20"/>
      <c r="U36" s="23"/>
      <c r="V36" s="23"/>
      <c r="W36" s="23"/>
      <c r="X36" s="16" t="str">
        <f aca="false">IF(U36="","",U36-IF(V36="",0,V36)-IF(W36="",0,W36))</f>
        <v/>
      </c>
      <c r="Y36" s="13" t="str">
        <f aca="false">IF(A36="","",IF(S36="","открыт","закрыт"))</f>
        <v/>
      </c>
      <c r="Z36" s="20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1"/>
      <c r="K37" s="22"/>
      <c r="L37" s="22"/>
      <c r="M37" s="22"/>
      <c r="N37" s="18" t="str">
        <f aca="false">IF(OR(K37="",M37="",M37=0),"",(K37-L37)/M37)</f>
        <v/>
      </c>
      <c r="O37" s="21"/>
      <c r="P37" s="21"/>
      <c r="Q37" s="23"/>
      <c r="R37" s="20"/>
      <c r="S37" s="22"/>
      <c r="T37" s="20"/>
      <c r="U37" s="23"/>
      <c r="V37" s="23"/>
      <c r="W37" s="23"/>
      <c r="X37" s="16" t="str">
        <f aca="false">IF(U37="","",U37-IF(V37="",0,V37)-IF(W37="",0,W37))</f>
        <v/>
      </c>
      <c r="Y37" s="13" t="str">
        <f aca="false">IF(A37="","",IF(S37="","открыт","закрыт"))</f>
        <v/>
      </c>
      <c r="Z37" s="20"/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1"/>
      <c r="K38" s="22"/>
      <c r="L38" s="22"/>
      <c r="M38" s="22"/>
      <c r="N38" s="18" t="str">
        <f aca="false">IF(OR(K38="",M38="",M38=0),"",(K38-L38)/M38)</f>
        <v/>
      </c>
      <c r="O38" s="21"/>
      <c r="P38" s="21"/>
      <c r="Q38" s="23"/>
      <c r="R38" s="20"/>
      <c r="S38" s="22"/>
      <c r="T38" s="20"/>
      <c r="U38" s="23"/>
      <c r="V38" s="23"/>
      <c r="W38" s="23"/>
      <c r="X38" s="16" t="str">
        <f aca="false">IF(U38="","",U38-IF(V38="",0,V38)-IF(W38="",0,W38))</f>
        <v/>
      </c>
      <c r="Y38" s="13" t="str">
        <f aca="false">IF(A38="","",IF(S38="","открыт","закрыт"))</f>
        <v/>
      </c>
      <c r="Z38" s="20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1"/>
      <c r="K39" s="22"/>
      <c r="L39" s="22"/>
      <c r="M39" s="22"/>
      <c r="N39" s="18" t="str">
        <f aca="false">IF(OR(K39="",M39="",M39=0),"",(K39-L39)/M39)</f>
        <v/>
      </c>
      <c r="O39" s="21"/>
      <c r="P39" s="21"/>
      <c r="Q39" s="23"/>
      <c r="R39" s="20"/>
      <c r="S39" s="22"/>
      <c r="T39" s="20"/>
      <c r="U39" s="23"/>
      <c r="V39" s="23"/>
      <c r="W39" s="23"/>
      <c r="X39" s="16" t="str">
        <f aca="false">IF(U39="","",U39-IF(V39="",0,V39)-IF(W39="",0,W39))</f>
        <v/>
      </c>
      <c r="Y39" s="13" t="str">
        <f aca="false">IF(A39="","",IF(S39="","открыт","закрыт"))</f>
        <v/>
      </c>
      <c r="Z39" s="20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1"/>
      <c r="K40" s="22"/>
      <c r="L40" s="22"/>
      <c r="M40" s="22"/>
      <c r="N40" s="18" t="str">
        <f aca="false">IF(OR(K40="",M40="",M40=0),"",(K40-L40)/M40)</f>
        <v/>
      </c>
      <c r="O40" s="21"/>
      <c r="P40" s="21"/>
      <c r="Q40" s="23"/>
      <c r="R40" s="20"/>
      <c r="S40" s="22"/>
      <c r="T40" s="20"/>
      <c r="U40" s="23"/>
      <c r="V40" s="23"/>
      <c r="W40" s="23"/>
      <c r="X40" s="16" t="str">
        <f aca="false">IF(U40="","",U40-IF(V40="",0,V40)-IF(W40="",0,W40))</f>
        <v/>
      </c>
      <c r="Y40" s="13" t="str">
        <f aca="false">IF(A40="","",IF(S40="","открыт","закрыт"))</f>
        <v/>
      </c>
      <c r="Z40" s="20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1"/>
      <c r="K41" s="22"/>
      <c r="L41" s="22"/>
      <c r="M41" s="22"/>
      <c r="N41" s="18" t="str">
        <f aca="false">IF(OR(K41="",M41="",M41=0),"",(K41-L41)/M41)</f>
        <v/>
      </c>
      <c r="O41" s="21"/>
      <c r="P41" s="21"/>
      <c r="Q41" s="23"/>
      <c r="R41" s="20"/>
      <c r="S41" s="22"/>
      <c r="T41" s="20"/>
      <c r="U41" s="23"/>
      <c r="V41" s="23"/>
      <c r="W41" s="23"/>
      <c r="X41" s="16" t="str">
        <f aca="false">IF(U41="","",U41-IF(V41="",0,V41)-IF(W41="",0,W41))</f>
        <v/>
      </c>
      <c r="Y41" s="13" t="str">
        <f aca="false">IF(A41="","",IF(S41="","открыт","закрыт"))</f>
        <v/>
      </c>
      <c r="Z41" s="20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1"/>
      <c r="K42" s="22"/>
      <c r="L42" s="22"/>
      <c r="M42" s="22"/>
      <c r="N42" s="18" t="str">
        <f aca="false">IF(OR(K42="",M42="",M42=0),"",(K42-L42)/M42)</f>
        <v/>
      </c>
      <c r="O42" s="21"/>
      <c r="P42" s="21"/>
      <c r="Q42" s="23"/>
      <c r="R42" s="20"/>
      <c r="S42" s="22"/>
      <c r="T42" s="20"/>
      <c r="U42" s="23"/>
      <c r="V42" s="23"/>
      <c r="W42" s="23"/>
      <c r="X42" s="16" t="str">
        <f aca="false">IF(U42="","",U42-IF(V42="",0,V42)-IF(W42="",0,W42))</f>
        <v/>
      </c>
      <c r="Y42" s="13" t="str">
        <f aca="false">IF(A42="","",IF(S42="","открыт","закрыт"))</f>
        <v/>
      </c>
      <c r="Z42" s="20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1"/>
      <c r="K43" s="22"/>
      <c r="L43" s="22"/>
      <c r="M43" s="22"/>
      <c r="N43" s="18" t="str">
        <f aca="false">IF(OR(K43="",M43="",M43=0),"",(K43-L43)/M43)</f>
        <v/>
      </c>
      <c r="O43" s="21"/>
      <c r="P43" s="21"/>
      <c r="Q43" s="23"/>
      <c r="R43" s="20"/>
      <c r="S43" s="22"/>
      <c r="T43" s="20"/>
      <c r="U43" s="23"/>
      <c r="V43" s="23"/>
      <c r="W43" s="23"/>
      <c r="X43" s="16" t="str">
        <f aca="false">IF(U43="","",U43-IF(V43="",0,V43)-IF(W43="",0,W43))</f>
        <v/>
      </c>
      <c r="Y43" s="13" t="str">
        <f aca="false">IF(A43="","",IF(S43="","открыт","закрыт"))</f>
        <v/>
      </c>
      <c r="Z43" s="20"/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1"/>
      <c r="K44" s="22"/>
      <c r="L44" s="22"/>
      <c r="M44" s="22"/>
      <c r="N44" s="18" t="str">
        <f aca="false">IF(OR(K44="",M44="",M44=0),"",(K44-L44)/M44)</f>
        <v/>
      </c>
      <c r="O44" s="21"/>
      <c r="P44" s="21"/>
      <c r="Q44" s="23"/>
      <c r="R44" s="20"/>
      <c r="S44" s="22"/>
      <c r="T44" s="20"/>
      <c r="U44" s="23"/>
      <c r="V44" s="23"/>
      <c r="W44" s="23"/>
      <c r="X44" s="16" t="str">
        <f aca="false">IF(U44="","",U44-IF(V44="",0,V44)-IF(W44="",0,W44))</f>
        <v/>
      </c>
      <c r="Y44" s="13" t="str">
        <f aca="false">IF(A44="","",IF(S44="","открыт","закрыт"))</f>
        <v/>
      </c>
      <c r="Z44" s="20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1"/>
      <c r="K45" s="22"/>
      <c r="L45" s="22"/>
      <c r="M45" s="22"/>
      <c r="N45" s="18" t="str">
        <f aca="false">IF(OR(K45="",M45="",M45=0),"",(K45-L45)/M45)</f>
        <v/>
      </c>
      <c r="O45" s="21"/>
      <c r="P45" s="21"/>
      <c r="Q45" s="23"/>
      <c r="R45" s="20"/>
      <c r="S45" s="22"/>
      <c r="T45" s="20"/>
      <c r="U45" s="23"/>
      <c r="V45" s="23"/>
      <c r="W45" s="23"/>
      <c r="X45" s="16" t="str">
        <f aca="false">IF(U45="","",U45-IF(V45="",0,V45)-IF(W45="",0,W45))</f>
        <v/>
      </c>
      <c r="Y45" s="13" t="str">
        <f aca="false">IF(A45="","",IF(S45="","открыт","закрыт"))</f>
        <v/>
      </c>
      <c r="Z45" s="20"/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1"/>
      <c r="K46" s="22"/>
      <c r="L46" s="22"/>
      <c r="M46" s="22"/>
      <c r="N46" s="18" t="str">
        <f aca="false">IF(OR(K46="",M46="",M46=0),"",(K46-L46)/M46)</f>
        <v/>
      </c>
      <c r="O46" s="21"/>
      <c r="P46" s="21"/>
      <c r="Q46" s="23"/>
      <c r="R46" s="20"/>
      <c r="S46" s="22"/>
      <c r="T46" s="20"/>
      <c r="U46" s="23"/>
      <c r="V46" s="23"/>
      <c r="W46" s="23"/>
      <c r="X46" s="16" t="str">
        <f aca="false">IF(U46="","",U46-IF(V46="",0,V46)-IF(W46="",0,W46))</f>
        <v/>
      </c>
      <c r="Y46" s="13" t="str">
        <f aca="false">IF(A46="","",IF(S46="","открыт","закрыт"))</f>
        <v/>
      </c>
      <c r="Z46" s="20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1"/>
      <c r="K47" s="22"/>
      <c r="L47" s="22"/>
      <c r="M47" s="22"/>
      <c r="N47" s="18" t="str">
        <f aca="false">IF(OR(K47="",M47="",M47=0),"",(K47-L47)/M47)</f>
        <v/>
      </c>
      <c r="O47" s="21"/>
      <c r="P47" s="21"/>
      <c r="Q47" s="23"/>
      <c r="R47" s="20"/>
      <c r="S47" s="22"/>
      <c r="T47" s="20"/>
      <c r="U47" s="23"/>
      <c r="V47" s="23"/>
      <c r="W47" s="23"/>
      <c r="X47" s="16" t="str">
        <f aca="false">IF(U47="","",U47-IF(V47="",0,V47)-IF(W47="",0,W47))</f>
        <v/>
      </c>
      <c r="Y47" s="13" t="str">
        <f aca="false">IF(A47="","",IF(S47="","открыт","закрыт"))</f>
        <v/>
      </c>
      <c r="Z47" s="20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1"/>
      <c r="K48" s="22"/>
      <c r="L48" s="22"/>
      <c r="M48" s="22"/>
      <c r="N48" s="18" t="str">
        <f aca="false">IF(OR(K48="",M48="",M48=0),"",(K48-L48)/M48)</f>
        <v/>
      </c>
      <c r="O48" s="21"/>
      <c r="P48" s="21"/>
      <c r="Q48" s="23"/>
      <c r="R48" s="20"/>
      <c r="S48" s="22"/>
      <c r="T48" s="20"/>
      <c r="U48" s="23"/>
      <c r="V48" s="23"/>
      <c r="W48" s="23"/>
      <c r="X48" s="16" t="str">
        <f aca="false">IF(U48="","",U48-IF(V48="",0,V48)-IF(W48="",0,W48))</f>
        <v/>
      </c>
      <c r="Y48" s="13" t="str">
        <f aca="false">IF(A48="","",IF(S48="","открыт","закрыт"))</f>
        <v/>
      </c>
      <c r="Z48" s="20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1"/>
      <c r="K49" s="22"/>
      <c r="L49" s="22"/>
      <c r="M49" s="22"/>
      <c r="N49" s="18" t="str">
        <f aca="false">IF(OR(K49="",M49="",M49=0),"",(K49-L49)/M49)</f>
        <v/>
      </c>
      <c r="O49" s="21"/>
      <c r="P49" s="21"/>
      <c r="Q49" s="23"/>
      <c r="R49" s="20"/>
      <c r="S49" s="22"/>
      <c r="T49" s="20"/>
      <c r="U49" s="23"/>
      <c r="V49" s="23"/>
      <c r="W49" s="23"/>
      <c r="X49" s="16" t="str">
        <f aca="false">IF(U49="","",U49-IF(V49="",0,V49)-IF(W49="",0,W49))</f>
        <v/>
      </c>
      <c r="Y49" s="13" t="str">
        <f aca="false">IF(A49="","",IF(S49="","открыт","закрыт"))</f>
        <v/>
      </c>
      <c r="Z49" s="20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1"/>
      <c r="K50" s="22"/>
      <c r="L50" s="22"/>
      <c r="M50" s="22"/>
      <c r="N50" s="18" t="str">
        <f aca="false">IF(OR(K50="",M50="",M50=0),"",(K50-L50)/M50)</f>
        <v/>
      </c>
      <c r="O50" s="21"/>
      <c r="P50" s="21"/>
      <c r="Q50" s="23"/>
      <c r="R50" s="20"/>
      <c r="S50" s="22"/>
      <c r="T50" s="20"/>
      <c r="U50" s="23"/>
      <c r="V50" s="23"/>
      <c r="W50" s="23"/>
      <c r="X50" s="16" t="str">
        <f aca="false">IF(U50="","",U50-IF(V50="",0,V50)-IF(W50="",0,W50))</f>
        <v/>
      </c>
      <c r="Y50" s="13" t="str">
        <f aca="false">IF(A50="","",IF(S50="","открыт","закрыт"))</f>
        <v/>
      </c>
      <c r="Z50" s="20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1"/>
      <c r="K51" s="22"/>
      <c r="L51" s="22"/>
      <c r="M51" s="22"/>
      <c r="N51" s="18" t="str">
        <f aca="false">IF(OR(K51="",M51="",M51=0),"",(K51-L51)/M51)</f>
        <v/>
      </c>
      <c r="O51" s="21"/>
      <c r="P51" s="21"/>
      <c r="Q51" s="23"/>
      <c r="R51" s="20"/>
      <c r="S51" s="22"/>
      <c r="T51" s="20"/>
      <c r="U51" s="23"/>
      <c r="V51" s="23"/>
      <c r="W51" s="23"/>
      <c r="X51" s="16" t="str">
        <f aca="false">IF(U51="","",U51-IF(V51="",0,V51)-IF(W51="",0,W51))</f>
        <v/>
      </c>
      <c r="Y51" s="13" t="str">
        <f aca="false">IF(A51="","",IF(S51="","открыт","закрыт"))</f>
        <v/>
      </c>
      <c r="Z51" s="20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1"/>
      <c r="K52" s="22"/>
      <c r="L52" s="22"/>
      <c r="M52" s="22"/>
      <c r="N52" s="18" t="str">
        <f aca="false">IF(OR(K52="",M52="",M52=0),"",(K52-L52)/M52)</f>
        <v/>
      </c>
      <c r="O52" s="21"/>
      <c r="P52" s="21"/>
      <c r="Q52" s="23"/>
      <c r="R52" s="20"/>
      <c r="S52" s="22"/>
      <c r="T52" s="20"/>
      <c r="U52" s="23"/>
      <c r="V52" s="23"/>
      <c r="W52" s="23"/>
      <c r="X52" s="16" t="str">
        <f aca="false">IF(U52="","",U52-IF(V52="",0,V52)-IF(W52="",0,W52))</f>
        <v/>
      </c>
      <c r="Y52" s="13" t="str">
        <f aca="false">IF(A52="","",IF(S52="","открыт","закрыт"))</f>
        <v/>
      </c>
      <c r="Z52" s="20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1"/>
      <c r="K53" s="22"/>
      <c r="L53" s="22"/>
      <c r="M53" s="22"/>
      <c r="N53" s="18" t="str">
        <f aca="false">IF(OR(K53="",M53="",M53=0),"",(K53-L53)/M53)</f>
        <v/>
      </c>
      <c r="O53" s="21"/>
      <c r="P53" s="21"/>
      <c r="Q53" s="23"/>
      <c r="R53" s="20"/>
      <c r="S53" s="22"/>
      <c r="T53" s="20"/>
      <c r="U53" s="23"/>
      <c r="V53" s="23"/>
      <c r="W53" s="23"/>
      <c r="X53" s="16" t="str">
        <f aca="false">IF(U53="","",U53-IF(V53="",0,V53)-IF(W53="",0,W53))</f>
        <v/>
      </c>
      <c r="Y53" s="13" t="str">
        <f aca="false">IF(A53="","",IF(S53="","открыт","закрыт"))</f>
        <v/>
      </c>
      <c r="Z53" s="20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1"/>
      <c r="K54" s="22"/>
      <c r="L54" s="22"/>
      <c r="M54" s="22"/>
      <c r="N54" s="18" t="str">
        <f aca="false">IF(OR(K54="",M54="",M54=0),"",(K54-L54)/M54)</f>
        <v/>
      </c>
      <c r="O54" s="21"/>
      <c r="P54" s="21"/>
      <c r="Q54" s="23"/>
      <c r="R54" s="20"/>
      <c r="S54" s="22"/>
      <c r="T54" s="20"/>
      <c r="U54" s="23"/>
      <c r="V54" s="23"/>
      <c r="W54" s="23"/>
      <c r="X54" s="16" t="str">
        <f aca="false">IF(U54="","",U54-IF(V54="",0,V54)-IF(W54="",0,W54))</f>
        <v/>
      </c>
      <c r="Y54" s="13" t="str">
        <f aca="false">IF(A54="","",IF(S54="","открыт","закрыт"))</f>
        <v/>
      </c>
      <c r="Z54" s="20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1"/>
      <c r="K55" s="22"/>
      <c r="L55" s="22"/>
      <c r="M55" s="22"/>
      <c r="N55" s="18" t="str">
        <f aca="false">IF(OR(K55="",M55="",M55=0),"",(K55-L55)/M55)</f>
        <v/>
      </c>
      <c r="O55" s="21"/>
      <c r="P55" s="21"/>
      <c r="Q55" s="23"/>
      <c r="R55" s="20"/>
      <c r="S55" s="22"/>
      <c r="T55" s="20"/>
      <c r="U55" s="23"/>
      <c r="V55" s="23"/>
      <c r="W55" s="23"/>
      <c r="X55" s="16" t="str">
        <f aca="false">IF(U55="","",U55-IF(V55="",0,V55)-IF(W55="",0,W55))</f>
        <v/>
      </c>
      <c r="Y55" s="13" t="str">
        <f aca="false">IF(A55="","",IF(S55="","открыт","закрыт"))</f>
        <v/>
      </c>
      <c r="Z55" s="20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1"/>
      <c r="K56" s="22"/>
      <c r="L56" s="22"/>
      <c r="M56" s="22"/>
      <c r="N56" s="18" t="str">
        <f aca="false">IF(OR(K56="",M56="",M56=0),"",(K56-L56)/M56)</f>
        <v/>
      </c>
      <c r="O56" s="21"/>
      <c r="P56" s="21"/>
      <c r="Q56" s="23"/>
      <c r="R56" s="20"/>
      <c r="S56" s="22"/>
      <c r="T56" s="20"/>
      <c r="U56" s="23"/>
      <c r="V56" s="23"/>
      <c r="W56" s="23"/>
      <c r="X56" s="16" t="str">
        <f aca="false">IF(U56="","",U56-IF(V56="",0,V56)-IF(W56="",0,W56))</f>
        <v/>
      </c>
      <c r="Y56" s="13" t="str">
        <f aca="false">IF(A56="","",IF(S56="","открыт","закрыт"))</f>
        <v/>
      </c>
      <c r="Z56" s="20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1"/>
      <c r="K57" s="22"/>
      <c r="L57" s="22"/>
      <c r="M57" s="22"/>
      <c r="N57" s="18" t="str">
        <f aca="false">IF(OR(K57="",M57="",M57=0),"",(K57-L57)/M57)</f>
        <v/>
      </c>
      <c r="O57" s="21"/>
      <c r="P57" s="21"/>
      <c r="Q57" s="23"/>
      <c r="R57" s="20"/>
      <c r="S57" s="22"/>
      <c r="T57" s="20"/>
      <c r="U57" s="23"/>
      <c r="V57" s="23"/>
      <c r="W57" s="23"/>
      <c r="X57" s="16" t="str">
        <f aca="false">IF(U57="","",U57-IF(V57="",0,V57)-IF(W57="",0,W57))</f>
        <v/>
      </c>
      <c r="Y57" s="13" t="str">
        <f aca="false">IF(A57="","",IF(S57="","открыт","закрыт"))</f>
        <v/>
      </c>
      <c r="Z57" s="20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1"/>
      <c r="K58" s="22"/>
      <c r="L58" s="22"/>
      <c r="M58" s="22"/>
      <c r="N58" s="18" t="str">
        <f aca="false">IF(OR(K58="",M58="",M58=0),"",(K58-L58)/M58)</f>
        <v/>
      </c>
      <c r="O58" s="21"/>
      <c r="P58" s="21"/>
      <c r="Q58" s="23"/>
      <c r="R58" s="20"/>
      <c r="S58" s="22"/>
      <c r="T58" s="20"/>
      <c r="U58" s="23"/>
      <c r="V58" s="23"/>
      <c r="W58" s="23"/>
      <c r="X58" s="16" t="str">
        <f aca="false">IF(U58="","",U58-IF(V58="",0,V58)-IF(W58="",0,W58))</f>
        <v/>
      </c>
      <c r="Y58" s="13" t="str">
        <f aca="false">IF(A58="","",IF(S58="","открыт","закрыт"))</f>
        <v/>
      </c>
      <c r="Z58" s="20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1"/>
      <c r="K59" s="22"/>
      <c r="L59" s="22"/>
      <c r="M59" s="22"/>
      <c r="N59" s="18" t="str">
        <f aca="false">IF(OR(K59="",M59="",M59=0),"",(K59-L59)/M59)</f>
        <v/>
      </c>
      <c r="O59" s="21"/>
      <c r="P59" s="21"/>
      <c r="Q59" s="23"/>
      <c r="R59" s="20"/>
      <c r="S59" s="22"/>
      <c r="T59" s="20"/>
      <c r="U59" s="23"/>
      <c r="V59" s="23"/>
      <c r="W59" s="23"/>
      <c r="X59" s="16" t="str">
        <f aca="false">IF(U59="","",U59-IF(V59="",0,V59)-IF(W59="",0,W59))</f>
        <v/>
      </c>
      <c r="Y59" s="13" t="str">
        <f aca="false">IF(A59="","",IF(S59="","открыт","закрыт"))</f>
        <v/>
      </c>
      <c r="Z59" s="20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1"/>
      <c r="K60" s="22"/>
      <c r="L60" s="22"/>
      <c r="M60" s="22"/>
      <c r="N60" s="18" t="str">
        <f aca="false">IF(OR(K60="",M60="",M60=0),"",(K60-L60)/M60)</f>
        <v/>
      </c>
      <c r="O60" s="21"/>
      <c r="P60" s="21"/>
      <c r="Q60" s="23"/>
      <c r="R60" s="20"/>
      <c r="S60" s="22"/>
      <c r="T60" s="20"/>
      <c r="U60" s="23"/>
      <c r="V60" s="23"/>
      <c r="W60" s="23"/>
      <c r="X60" s="16" t="str">
        <f aca="false">IF(U60="","",U60-IF(V60="",0,V60)-IF(W60="",0,W60))</f>
        <v/>
      </c>
      <c r="Y60" s="13" t="str">
        <f aca="false">IF(A60="","",IF(S60="","открыт","закрыт"))</f>
        <v/>
      </c>
      <c r="Z60" s="20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1"/>
      <c r="K61" s="22"/>
      <c r="L61" s="22"/>
      <c r="M61" s="22"/>
      <c r="N61" s="18" t="str">
        <f aca="false">IF(OR(K61="",M61="",M61=0),"",(K61-L61)/M61)</f>
        <v/>
      </c>
      <c r="O61" s="21"/>
      <c r="P61" s="21"/>
      <c r="Q61" s="23"/>
      <c r="R61" s="20"/>
      <c r="S61" s="22"/>
      <c r="T61" s="20"/>
      <c r="U61" s="23"/>
      <c r="V61" s="23"/>
      <c r="W61" s="23"/>
      <c r="X61" s="16" t="str">
        <f aca="false">IF(U61="","",U61-IF(V61="",0,V61)-IF(W61="",0,W61))</f>
        <v/>
      </c>
      <c r="Y61" s="13" t="str">
        <f aca="false">IF(A61="","",IF(S61="","открыт","закрыт"))</f>
        <v/>
      </c>
      <c r="Z6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24" hidden="false" customHeight="true" outlineLevel="0" collapsed="false">
      <c r="A1" s="1" t="s">
        <v>73</v>
      </c>
      <c r="B1" s="1"/>
    </row>
    <row r="3" customFormat="false" ht="15" hidden="false" customHeight="false" outlineLevel="0" collapsed="false">
      <c r="A3" s="24" t="s">
        <v>74</v>
      </c>
      <c r="B3" s="25" t="n">
        <f aca="false">COUNTA(Журнал!A2:A61)</f>
        <v>1</v>
      </c>
    </row>
    <row r="4" customFormat="false" ht="15" hidden="false" customHeight="false" outlineLevel="0" collapsed="false">
      <c r="A4" s="24" t="s">
        <v>75</v>
      </c>
      <c r="B4" s="25" t="n">
        <f aca="false">COUNTIF(Журнал!Y2:Y61,"открыт")</f>
        <v>1</v>
      </c>
    </row>
    <row r="5" customFormat="false" ht="15" hidden="false" customHeight="false" outlineLevel="0" collapsed="false">
      <c r="A5" s="24" t="s">
        <v>76</v>
      </c>
      <c r="B5" s="25" t="n">
        <f aca="false">COUNTIF(Журнал!Y2:Y61,"закрыт")</f>
        <v>0</v>
      </c>
    </row>
    <row r="6" customFormat="false" ht="15" hidden="false" customHeight="false" outlineLevel="0" collapsed="false">
      <c r="A6" s="24" t="s">
        <v>77</v>
      </c>
      <c r="B6" s="25" t="n">
        <f aca="false">COUNTIFS(Журнал!Y2:Y61,"закрыт",Журнал!X2:X61,"&gt;0")</f>
        <v>0</v>
      </c>
    </row>
    <row r="7" customFormat="false" ht="15" hidden="false" customHeight="false" outlineLevel="0" collapsed="false">
      <c r="A7" s="24" t="s">
        <v>78</v>
      </c>
      <c r="B7" s="26" t="n">
        <f aca="false">IF(B5=0,0,B6/B5)</f>
        <v>0</v>
      </c>
    </row>
    <row r="8" customFormat="false" ht="15" hidden="false" customHeight="false" outlineLevel="0" collapsed="false">
      <c r="A8" s="24" t="s">
        <v>79</v>
      </c>
      <c r="B8" s="11" t="n">
        <f aca="false">SUM(Журнал!X2:X61)</f>
        <v>0</v>
      </c>
    </row>
    <row r="9" customFormat="false" ht="15" hidden="false" customHeight="false" outlineLevel="0" collapsed="false">
      <c r="A9" s="24" t="s">
        <v>80</v>
      </c>
      <c r="B9" s="11" t="n">
        <f aca="false">SUM(Журнал!U2:U61)</f>
        <v>0</v>
      </c>
    </row>
    <row r="10" customFormat="false" ht="15" hidden="false" customHeight="false" outlineLevel="0" collapsed="false">
      <c r="A10" s="24" t="s">
        <v>81</v>
      </c>
      <c r="B10" s="11" t="n">
        <f aca="false">SUM(Журнал!V2:V61)+SUM(Журнал!W2:W61)</f>
        <v>1.7</v>
      </c>
    </row>
    <row r="11" customFormat="false" ht="15" hidden="false" customHeight="false" outlineLevel="0" collapsed="false">
      <c r="A11" s="24" t="s">
        <v>82</v>
      </c>
      <c r="B11" s="18" t="n">
        <f aca="false">IFERROR(AVERAGEIFS(Журнал!N2:N61,Журнал!Y2:Y61,"закрыт"),0)</f>
        <v>0</v>
      </c>
    </row>
    <row r="12" customFormat="false" ht="15" hidden="false" customHeight="false" outlineLevel="0" collapsed="false">
      <c r="A12" s="24" t="s">
        <v>83</v>
      </c>
      <c r="B12" s="11" t="n">
        <f aca="false">IFERROR(MAX(Журнал!X2:X61),0)</f>
        <v>0</v>
      </c>
    </row>
    <row r="13" customFormat="false" ht="15" hidden="false" customHeight="false" outlineLevel="0" collapsed="false">
      <c r="A13" s="24" t="s">
        <v>84</v>
      </c>
      <c r="B13" s="11" t="n">
        <f aca="false">IFERROR(MIN(Журнал!X2:X61),0)</f>
        <v>0</v>
      </c>
    </row>
    <row r="15" customFormat="false" ht="15" hidden="false" customHeight="false" outlineLevel="0" collapsed="false">
      <c r="A15" s="2" t="s">
        <v>85</v>
      </c>
    </row>
    <row r="16" customFormat="false" ht="15" hidden="false" customHeight="false" outlineLevel="0" collapsed="false">
      <c r="A16" s="13" t="s">
        <v>68</v>
      </c>
      <c r="B16" s="11" t="n">
        <f aca="false">SUMIF(Журнал!C2:C61,A16,Журнал!X2:X61)</f>
        <v>0</v>
      </c>
    </row>
    <row r="17" customFormat="false" ht="15" hidden="false" customHeight="false" outlineLevel="0" collapsed="false">
      <c r="A17" s="13" t="s">
        <v>86</v>
      </c>
      <c r="B17" s="11" t="n">
        <f aca="false">SUMIF(Журнал!C2:C61,A17,Журнал!X2:X61)</f>
        <v>0</v>
      </c>
    </row>
    <row r="18" customFormat="false" ht="15" hidden="false" customHeight="false" outlineLevel="0" collapsed="false">
      <c r="A18" s="13" t="s">
        <v>87</v>
      </c>
      <c r="B18" s="11" t="n">
        <f aca="false">SUMIF(Журнал!C2:C61,A18,Журнал!X2:X61)</f>
        <v>0</v>
      </c>
    </row>
    <row r="19" customFormat="false" ht="15" hidden="false" customHeight="false" outlineLevel="0" collapsed="false">
      <c r="A19" s="13" t="s">
        <v>88</v>
      </c>
      <c r="B19" s="11" t="n">
        <f aca="false">SUMIF(Журнал!C2:C61,A19,Журнал!X2:X61)</f>
        <v>0</v>
      </c>
    </row>
    <row r="20" customFormat="false" ht="15" hidden="false" customHeight="false" outlineLevel="0" collapsed="false">
      <c r="A20" s="13" t="s">
        <v>89</v>
      </c>
      <c r="B20" s="11" t="n">
        <f aca="false">SUMIF(Журнал!C2:C61,A20,Журнал!X2:X61)</f>
        <v>0</v>
      </c>
    </row>
    <row r="21" customFormat="false" ht="15" hidden="false" customHeight="false" outlineLevel="0" collapsed="false">
      <c r="A21" s="13" t="s">
        <v>90</v>
      </c>
      <c r="B21" s="11" t="n">
        <f aca="false">SUMIF(Журнал!C2:C61,A21,Журнал!X2:X61)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6" activeCellId="0" sqref="D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80"/>
    <col collapsed="false" customWidth="true" hidden="false" outlineLevel="0" max="4" min="4" style="0" width="13"/>
    <col collapsed="false" customWidth="true" hidden="false" outlineLevel="0" max="5" min="5" style="0" width="5"/>
    <col collapsed="false" customWidth="true" hidden="false" outlineLevel="0" max="6" min="6" style="0" width="48"/>
    <col collapsed="false" customWidth="true" hidden="true" outlineLevel="0" max="7" min="7" style="0" width="15"/>
  </cols>
  <sheetData>
    <row r="1" customFormat="false" ht="24" hidden="false" customHeight="true" outlineLevel="0" collapsed="false">
      <c r="A1" s="1" t="s">
        <v>91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92</v>
      </c>
    </row>
    <row r="3" customFormat="false" ht="21.75" hidden="false" customHeight="true" outlineLevel="0" collapsed="false">
      <c r="A3" s="19" t="s">
        <v>93</v>
      </c>
      <c r="B3" s="19" t="s">
        <v>94</v>
      </c>
      <c r="C3" s="19" t="s">
        <v>95</v>
      </c>
      <c r="D3" s="19" t="s">
        <v>96</v>
      </c>
      <c r="E3" s="19" t="s">
        <v>97</v>
      </c>
      <c r="F3" s="19" t="s">
        <v>98</v>
      </c>
      <c r="G3" s="19" t="s">
        <v>99</v>
      </c>
    </row>
    <row r="4" customFormat="false" ht="30" hidden="false" customHeight="true" outlineLevel="0" collapsed="false">
      <c r="A4" s="27" t="n">
        <v>1</v>
      </c>
      <c r="B4" s="13" t="s">
        <v>100</v>
      </c>
      <c r="C4" s="28" t="s">
        <v>101</v>
      </c>
      <c r="D4" s="6" t="n">
        <v>54</v>
      </c>
      <c r="E4" s="29" t="str">
        <f aca="false">IF(D4="","",IF(ABS(D4-G4)&lt;=ABS(G4)*0.01+0.0001,"✓","✗"))</f>
        <v>✓</v>
      </c>
      <c r="F4" s="30" t="s">
        <v>102</v>
      </c>
      <c r="G4" s="13" t="n">
        <f aca="false">1.08*50</f>
        <v>54</v>
      </c>
    </row>
    <row r="5" customFormat="false" ht="30" hidden="false" customHeight="true" outlineLevel="0" collapsed="false">
      <c r="A5" s="27" t="n">
        <v>2</v>
      </c>
      <c r="B5" s="13" t="s">
        <v>100</v>
      </c>
      <c r="C5" s="28" t="s">
        <v>103</v>
      </c>
      <c r="D5" s="6" t="n">
        <v>15000</v>
      </c>
      <c r="E5" s="27" t="str">
        <f aca="false">IF(D5="","",IF(ABS(D5-G5)&lt;=ABS(G5)*0.01+0.0001,"✓","✗"))</f>
        <v>✓</v>
      </c>
      <c r="F5" s="30" t="s">
        <v>104</v>
      </c>
      <c r="G5" s="13" t="n">
        <f aca="false">150*100</f>
        <v>15000</v>
      </c>
    </row>
    <row r="6" customFormat="false" ht="30" hidden="false" customHeight="true" outlineLevel="0" collapsed="false">
      <c r="A6" s="27" t="n">
        <v>3</v>
      </c>
      <c r="B6" s="13" t="s">
        <v>100</v>
      </c>
      <c r="C6" s="28" t="s">
        <v>105</v>
      </c>
      <c r="D6" s="6"/>
      <c r="E6" s="27" t="str">
        <f aca="false">IF(D6="","",IF(ABS(D6-G6)&lt;=ABS(G6)*0.01+0.0001,"✓","✗"))</f>
        <v/>
      </c>
      <c r="F6" s="30" t="s">
        <v>106</v>
      </c>
      <c r="G6" s="13" t="n">
        <f aca="false">1.08*150</f>
        <v>162</v>
      </c>
    </row>
    <row r="7" customFormat="false" ht="30" hidden="false" customHeight="true" outlineLevel="0" collapsed="false">
      <c r="A7" s="27" t="n">
        <v>4</v>
      </c>
      <c r="B7" s="13" t="s">
        <v>100</v>
      </c>
      <c r="C7" s="28" t="s">
        <v>107</v>
      </c>
      <c r="D7" s="6"/>
      <c r="E7" s="27" t="str">
        <f aca="false">IF(D7="","",IF(ABS(D7-G7)&lt;=ABS(G7)*0.01+0.0001,"✓","✗"))</f>
        <v/>
      </c>
      <c r="F7" s="30" t="s">
        <v>108</v>
      </c>
      <c r="G7" s="13" t="n">
        <f aca="false">16200/162</f>
        <v>100</v>
      </c>
    </row>
    <row r="8" customFormat="false" ht="30" hidden="false" customHeight="true" outlineLevel="0" collapsed="false">
      <c r="A8" s="27" t="n">
        <v>5</v>
      </c>
      <c r="B8" s="13" t="s">
        <v>100</v>
      </c>
      <c r="C8" s="28" t="s">
        <v>109</v>
      </c>
      <c r="D8" s="6"/>
      <c r="E8" s="27" t="str">
        <f aca="false">IF(D8="","",IF(ABS(D8-G8)&lt;=ABS(G8)*0.01+0.0001,"✓","✗"))</f>
        <v/>
      </c>
      <c r="F8" s="30" t="s">
        <v>110</v>
      </c>
      <c r="G8" s="13" t="n">
        <f aca="false">100*1.08*150/162.3</f>
        <v>99.815157116451</v>
      </c>
    </row>
    <row r="9" customFormat="false" ht="30" hidden="false" customHeight="true" outlineLevel="0" collapsed="false">
      <c r="A9" s="27" t="n">
        <v>6</v>
      </c>
      <c r="B9" s="13" t="s">
        <v>111</v>
      </c>
      <c r="C9" s="28" t="s">
        <v>112</v>
      </c>
      <c r="D9" s="6"/>
      <c r="E9" s="27" t="str">
        <f aca="false">IF(D9="","",IF(ABS(D9-G9)&lt;=ABS(G9)*0.01+0.0001,"✓","✗"))</f>
        <v/>
      </c>
      <c r="F9" s="30" t="s">
        <v>113</v>
      </c>
      <c r="G9" s="13" t="n">
        <f aca="false">162.3-1.08*150</f>
        <v>0.300000000000011</v>
      </c>
    </row>
    <row r="10" customFormat="false" ht="30" hidden="false" customHeight="true" outlineLevel="0" collapsed="false">
      <c r="A10" s="27" t="n">
        <v>7</v>
      </c>
      <c r="B10" s="13" t="s">
        <v>111</v>
      </c>
      <c r="C10" s="28" t="s">
        <v>114</v>
      </c>
      <c r="D10" s="6"/>
      <c r="E10" s="27" t="str">
        <f aca="false">IF(D10="","",IF(ABS(D10-G10)&lt;=ABS(G10)*0.01+0.0001,"✓","✗"))</f>
        <v/>
      </c>
      <c r="F10" s="30" t="s">
        <v>115</v>
      </c>
      <c r="G10" s="13" t="n">
        <f aca="false">(162.3/(1.08*150)-1)*100</f>
        <v>0.185185185185199</v>
      </c>
    </row>
    <row r="11" customFormat="false" ht="30" hidden="false" customHeight="true" outlineLevel="0" collapsed="false">
      <c r="A11" s="27" t="n">
        <v>8</v>
      </c>
      <c r="B11" s="13" t="s">
        <v>111</v>
      </c>
      <c r="C11" s="28" t="s">
        <v>116</v>
      </c>
      <c r="D11" s="6"/>
      <c r="E11" s="27" t="str">
        <f aca="false">IF(D11="","",IF(ABS(D11-G11)&lt;=ABS(G11)*0.01+0.0001,"✓","✗"))</f>
        <v/>
      </c>
      <c r="F11" s="30" t="s">
        <v>117</v>
      </c>
      <c r="G11" s="13" t="n">
        <f aca="false">0.3/0.01</f>
        <v>30</v>
      </c>
    </row>
    <row r="12" customFormat="false" ht="30" hidden="false" customHeight="true" outlineLevel="0" collapsed="false">
      <c r="A12" s="27" t="n">
        <v>9</v>
      </c>
      <c r="B12" s="13" t="s">
        <v>111</v>
      </c>
      <c r="C12" s="28" t="s">
        <v>118</v>
      </c>
      <c r="D12" s="6"/>
      <c r="E12" s="27" t="str">
        <f aca="false">IF(D12="","",IF(ABS(D12-G12)&lt;=ABS(G12)*0.01+0.0001,"✓","✗"))</f>
        <v/>
      </c>
      <c r="F12" s="30" t="s">
        <v>119</v>
      </c>
      <c r="G12" s="13" t="n">
        <f aca="false">3*0.04</f>
        <v>0.12</v>
      </c>
    </row>
    <row r="13" customFormat="false" ht="30" hidden="false" customHeight="true" outlineLevel="0" collapsed="false">
      <c r="A13" s="27" t="n">
        <v>10</v>
      </c>
      <c r="B13" s="13" t="s">
        <v>111</v>
      </c>
      <c r="C13" s="28" t="s">
        <v>120</v>
      </c>
      <c r="D13" s="6"/>
      <c r="E13" s="27" t="str">
        <f aca="false">IF(D13="","",IF(ABS(D13-G13)&lt;=ABS(G13)*0.01+0.0001,"✓","✗"))</f>
        <v/>
      </c>
      <c r="F13" s="30" t="s">
        <v>121</v>
      </c>
      <c r="G13" s="13" t="n">
        <f aca="false">0.185-0.12</f>
        <v>0.065</v>
      </c>
    </row>
    <row r="14" customFormat="false" ht="30" hidden="false" customHeight="true" outlineLevel="0" collapsed="false">
      <c r="A14" s="27" t="n">
        <v>11</v>
      </c>
      <c r="B14" s="13" t="s">
        <v>111</v>
      </c>
      <c r="C14" s="28" t="s">
        <v>122</v>
      </c>
      <c r="D14" s="6"/>
      <c r="E14" s="27" t="str">
        <f aca="false">IF(D14="","",IF(ABS(D14-G14)&lt;=ABS(G14)*0.01+0.0001,"✓","✗"))</f>
        <v/>
      </c>
      <c r="F14" s="30" t="s">
        <v>123</v>
      </c>
      <c r="G14" s="13" t="n">
        <f aca="false">LN(162.3)-LN(1.08)-LN(150)</f>
        <v>0.00185013928816158</v>
      </c>
    </row>
    <row r="15" customFormat="false" ht="30" hidden="false" customHeight="true" outlineLevel="0" collapsed="false">
      <c r="A15" s="27" t="n">
        <v>12</v>
      </c>
      <c r="B15" s="13" t="s">
        <v>124</v>
      </c>
      <c r="C15" s="28" t="s">
        <v>125</v>
      </c>
      <c r="D15" s="6"/>
      <c r="E15" s="31" t="s">
        <v>126</v>
      </c>
      <c r="F15" s="30" t="s">
        <v>127</v>
      </c>
      <c r="G15" s="13" t="s">
        <v>128</v>
      </c>
    </row>
    <row r="16" customFormat="false" ht="30" hidden="false" customHeight="true" outlineLevel="0" collapsed="false">
      <c r="A16" s="27" t="n">
        <v>13</v>
      </c>
      <c r="B16" s="13" t="s">
        <v>124</v>
      </c>
      <c r="C16" s="28" t="s">
        <v>129</v>
      </c>
      <c r="D16" s="6"/>
      <c r="E16" s="27" t="str">
        <f aca="false">IF(D16="","",IF(ABS(D16-G16)&lt;=ABS(G16)*0.01+0.0001,"✓","✗"))</f>
        <v/>
      </c>
      <c r="F16" s="30" t="s">
        <v>130</v>
      </c>
      <c r="G16" s="13" t="n">
        <f aca="false">100000*1.08</f>
        <v>108000</v>
      </c>
    </row>
    <row r="17" customFormat="false" ht="30" hidden="false" customHeight="true" outlineLevel="0" collapsed="false">
      <c r="A17" s="27" t="n">
        <v>14</v>
      </c>
      <c r="B17" s="13" t="s">
        <v>124</v>
      </c>
      <c r="C17" s="28" t="s">
        <v>131</v>
      </c>
      <c r="D17" s="6"/>
      <c r="E17" s="27" t="str">
        <f aca="false">IF(D17="","",IF(ABS(D17-G17)&lt;=ABS(G17)*0.01+0.0001,"✓","✗"))</f>
        <v/>
      </c>
      <c r="F17" s="30" t="s">
        <v>132</v>
      </c>
      <c r="G17" s="13" t="n">
        <f aca="false">100000*1.08*150</f>
        <v>16200000</v>
      </c>
    </row>
    <row r="18" customFormat="false" ht="30" hidden="false" customHeight="true" outlineLevel="0" collapsed="false">
      <c r="A18" s="27" t="n">
        <v>15</v>
      </c>
      <c r="B18" s="13" t="s">
        <v>124</v>
      </c>
      <c r="C18" s="28" t="s">
        <v>133</v>
      </c>
      <c r="D18" s="6"/>
      <c r="E18" s="27" t="str">
        <f aca="false">IF(D18="","",IF(ABS(D18-G18)&lt;=ABS(G18)*0.01+0.0001,"✓","✗"))</f>
        <v/>
      </c>
      <c r="F18" s="30" t="s">
        <v>134</v>
      </c>
      <c r="G18" s="13" t="n">
        <f aca="false">(0.0008-0)/0.0003</f>
        <v>2.66666666666667</v>
      </c>
    </row>
    <row r="19" customFormat="false" ht="30" hidden="false" customHeight="true" outlineLevel="0" collapsed="false">
      <c r="A19" s="27" t="n">
        <v>16</v>
      </c>
      <c r="B19" s="13" t="s">
        <v>124</v>
      </c>
      <c r="C19" s="28" t="s">
        <v>135</v>
      </c>
      <c r="D19" s="6"/>
      <c r="E19" s="27" t="str">
        <f aca="false">IF(D19="","",IF(ABS(D19-G19)&lt;=ABS(G19)*0.01+0.0001,"✓","✗"))</f>
        <v/>
      </c>
      <c r="F19" s="30" t="s">
        <v>136</v>
      </c>
      <c r="G19" s="13" t="n">
        <f aca="false">IF(2.667&gt;=2,1,0)</f>
        <v>1</v>
      </c>
    </row>
    <row r="20" customFormat="false" ht="30" hidden="false" customHeight="true" outlineLevel="0" collapsed="false">
      <c r="A20" s="27" t="n">
        <v>17</v>
      </c>
      <c r="B20" s="13" t="s">
        <v>124</v>
      </c>
      <c r="C20" s="28" t="s">
        <v>137</v>
      </c>
      <c r="D20" s="6"/>
      <c r="E20" s="27" t="str">
        <f aca="false">IF(D20="","",IF(ABS(D20-G20)&lt;=ABS(G20)*0.01+0.0001,"✓","✗"))</f>
        <v/>
      </c>
      <c r="F20" s="30" t="s">
        <v>138</v>
      </c>
      <c r="G20" s="13" t="n">
        <f aca="false">LN(2)/0.5</f>
        <v>1.38629436111989</v>
      </c>
    </row>
    <row r="21" customFormat="false" ht="30" hidden="false" customHeight="true" outlineLevel="0" collapsed="false">
      <c r="A21" s="27" t="n">
        <v>18</v>
      </c>
      <c r="B21" s="13" t="s">
        <v>124</v>
      </c>
      <c r="C21" s="28" t="s">
        <v>139</v>
      </c>
      <c r="D21" s="6"/>
      <c r="E21" s="27" t="str">
        <f aca="false">IF(D21="","",IF(ABS(D21-G21)&lt;=ABS(G21)*0.01+0.0001,"✓","✗"))</f>
        <v/>
      </c>
      <c r="F21" s="30" t="s">
        <v>140</v>
      </c>
      <c r="G21" s="13" t="n">
        <f aca="false">(EXP(0.001849)-1)*100</f>
        <v>0.185071045454777</v>
      </c>
    </row>
    <row r="22" customFormat="false" ht="30" hidden="false" customHeight="true" outlineLevel="0" collapsed="false">
      <c r="A22" s="27" t="n">
        <v>19</v>
      </c>
      <c r="B22" s="13" t="s">
        <v>124</v>
      </c>
      <c r="C22" s="28" t="s">
        <v>141</v>
      </c>
      <c r="D22" s="6"/>
      <c r="E22" s="31" t="s">
        <v>126</v>
      </c>
      <c r="F22" s="30" t="s">
        <v>142</v>
      </c>
      <c r="G22" s="13" t="s">
        <v>143</v>
      </c>
    </row>
    <row r="23" customFormat="false" ht="30" hidden="false" customHeight="true" outlineLevel="0" collapsed="false">
      <c r="A23" s="27" t="n">
        <v>20</v>
      </c>
      <c r="B23" s="13" t="s">
        <v>144</v>
      </c>
      <c r="C23" s="28" t="s">
        <v>145</v>
      </c>
      <c r="D23" s="6"/>
      <c r="E23" s="27" t="str">
        <f aca="false">IF(D23="","",IF(ABS(D23-G23)&lt;=ABS(G23)*0.01+0.0001,"✓","✗"))</f>
        <v/>
      </c>
      <c r="F23" s="30" t="s">
        <v>146</v>
      </c>
      <c r="G23" s="13" t="n">
        <f aca="false">1.08*150/162.4</f>
        <v>0.997536945812808</v>
      </c>
    </row>
    <row r="24" customFormat="false" ht="30" hidden="false" customHeight="true" outlineLevel="0" collapsed="false">
      <c r="A24" s="27" t="n">
        <v>21</v>
      </c>
      <c r="B24" s="13" t="s">
        <v>144</v>
      </c>
      <c r="C24" s="28" t="s">
        <v>147</v>
      </c>
      <c r="D24" s="6"/>
      <c r="E24" s="27" t="str">
        <f aca="false">IF(D24="","",IF(ABS(D24-G24)&lt;=ABS(G24)*0.01+0.0001,"✓","✗"))</f>
        <v/>
      </c>
      <c r="F24" s="30" t="s">
        <v>148</v>
      </c>
      <c r="G24" s="13" t="n">
        <f aca="false">(1.08*150/162.4-1)*100</f>
        <v>-0.246305418719217</v>
      </c>
    </row>
    <row r="25" customFormat="false" ht="30" hidden="false" customHeight="true" outlineLevel="0" collapsed="false">
      <c r="A25" s="27" t="n">
        <v>22</v>
      </c>
      <c r="B25" s="13" t="s">
        <v>144</v>
      </c>
      <c r="C25" s="28" t="s">
        <v>149</v>
      </c>
      <c r="D25" s="6"/>
      <c r="E25" s="27" t="str">
        <f aca="false">IF(D25="","",IF(ABS(D25-G25)&lt;=ABS(G25)*0.01+0.0001,"✓","✗"))</f>
        <v/>
      </c>
      <c r="F25" s="30" t="s">
        <v>150</v>
      </c>
      <c r="G25" s="13" t="n">
        <f aca="false">162.3-162.1</f>
        <v>0.200000000000017</v>
      </c>
    </row>
    <row r="26" customFormat="false" ht="30" hidden="false" customHeight="true" outlineLevel="0" collapsed="false">
      <c r="A26" s="27" t="n">
        <v>23</v>
      </c>
      <c r="B26" s="13" t="s">
        <v>144</v>
      </c>
      <c r="C26" s="28" t="s">
        <v>151</v>
      </c>
      <c r="D26" s="6"/>
      <c r="E26" s="27" t="str">
        <f aca="false">IF(D26="","",IF(ABS(D26-G26)&lt;=ABS(G26)*0.01+0.0001,"✓","✗"))</f>
        <v/>
      </c>
      <c r="F26" s="30" t="s">
        <v>152</v>
      </c>
      <c r="G26" s="13" t="n">
        <f aca="false">1.08*(1+0.05)/(1+0.03)</f>
        <v>1.10097087378641</v>
      </c>
    </row>
    <row r="27" customFormat="false" ht="30" hidden="false" customHeight="true" outlineLevel="0" collapsed="false">
      <c r="A27" s="27" t="n">
        <v>24</v>
      </c>
      <c r="B27" s="13" t="s">
        <v>144</v>
      </c>
      <c r="C27" s="28" t="s">
        <v>153</v>
      </c>
      <c r="D27" s="6"/>
      <c r="E27" s="27" t="str">
        <f aca="false">IF(D27="","",IF(ABS(D27-G27)&lt;=ABS(G27)*0.01+0.0001,"✓","✗"))</f>
        <v/>
      </c>
      <c r="F27" s="30" t="s">
        <v>154</v>
      </c>
      <c r="G27" s="13" t="n">
        <f aca="false">1.098-1.08*(1+0.05)/(1+0.03)</f>
        <v>-0.00297087378640781</v>
      </c>
    </row>
    <row r="28" customFormat="false" ht="30" hidden="false" customHeight="true" outlineLevel="0" collapsed="false">
      <c r="A28" s="27" t="n">
        <v>25</v>
      </c>
      <c r="B28" s="13" t="s">
        <v>144</v>
      </c>
      <c r="C28" s="28" t="s">
        <v>155</v>
      </c>
      <c r="D28" s="6"/>
      <c r="E28" s="27" t="str">
        <f aca="false">IF(D28="","",IF(ABS(D28-G28)&lt;=ABS(G28)*0.01+0.0001,"✓","✗"))</f>
        <v/>
      </c>
      <c r="F28" s="30" t="s">
        <v>156</v>
      </c>
      <c r="G28" s="13" t="n">
        <f aca="false">1.08*150*0.0053*1.16</f>
        <v>0.995976</v>
      </c>
    </row>
    <row r="29" customFormat="false" ht="30" hidden="false" customHeight="true" outlineLevel="0" collapsed="false">
      <c r="A29" s="27" t="n">
        <v>26</v>
      </c>
      <c r="B29" s="13" t="s">
        <v>144</v>
      </c>
      <c r="C29" s="28" t="s">
        <v>157</v>
      </c>
      <c r="D29" s="6"/>
      <c r="E29" s="27" t="str">
        <f aca="false">IF(D29="","",IF(ABS(D29-G29)&lt;=ABS(G29)*0.01+0.0001,"✓","✗"))</f>
        <v/>
      </c>
      <c r="F29" s="30" t="s">
        <v>158</v>
      </c>
      <c r="G29" s="13" t="n">
        <f aca="false">(2/3)*SQRT(50*252)</f>
        <v>74.8331477354788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2026-06-30T17:15:43Z</dcterms:created>
  <dc:creator>openpyxl</dc:creator>
  <dc:description/>
  <dc:language>en-US</dc:language>
  <cp:lastModifiedBy/>
  <dcterms:modified xsi:type="dcterms:W3CDTF">2026-06-30T22:03:12Z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