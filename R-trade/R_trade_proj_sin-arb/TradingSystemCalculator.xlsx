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ЕТКА" sheetId="1" state="visible" r:id="rId1"/>
    <sheet xmlns:r="http://schemas.openxmlformats.org/officeDocument/2006/relationships" name="БАЗИС АРБ" sheetId="2" state="visible" r:id="rId2"/>
    <sheet xmlns:r="http://schemas.openxmlformats.org/officeDocument/2006/relationships" name="ОПЦ ОБЁРТКА" sheetId="3" state="visible" r:id="rId3"/>
    <sheet xmlns:r="http://schemas.openxmlformats.org/officeDocument/2006/relationships" name="IV АРБ" sheetId="4" state="visible" r:id="rId4"/>
    <sheet xmlns:r="http://schemas.openxmlformats.org/officeDocument/2006/relationships" name="КАЛЕНДАРЬ" sheetId="5" state="visible" r:id="rId5"/>
    <sheet xmlns:r="http://schemas.openxmlformats.org/officeDocument/2006/relationships" name="ПОРТФЕЛЬ" sheetId="6" state="visible" r:id="rId6"/>
    <sheet xmlns:r="http://schemas.openxmlformats.org/officeDocument/2006/relationships" name="ФОРМУЛ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0000"/>
    <numFmt numFmtId="165" formatCode="#,##0.0000"/>
    <numFmt numFmtId="166" formatCode="0.0000%"/>
    <numFmt numFmtId="167" formatCode="#,##0.00000"/>
    <numFmt numFmtId="168" formatCode="0.00000%"/>
  </numFmts>
  <fonts count="30">
    <font>
      <name val="Calibri"/>
      <family val="2"/>
      <color theme="1"/>
      <sz val="11"/>
      <scheme val="minor"/>
    </font>
    <font>
      <name val="Consolas"/>
      <b val="1"/>
      <color rgb="0000E676"/>
      <sz val="14"/>
    </font>
    <font>
      <name val="Consolas"/>
      <color rgb="006878A0"/>
      <sz val="9"/>
    </font>
    <font>
      <name val="Consolas"/>
      <b val="1"/>
      <color rgb="0000E5FF"/>
      <sz val="9"/>
    </font>
    <font>
      <name val="Consolas"/>
      <color rgb="00B0BCD8"/>
      <sz val="10"/>
    </font>
    <font>
      <name val="Consolas"/>
      <b val="1"/>
      <color rgb="00E2E8F8"/>
      <sz val="10"/>
    </font>
    <font>
      <name val="Consolas"/>
      <b val="1"/>
      <color rgb="000000FF"/>
      <sz val="10"/>
    </font>
    <font>
      <name val="Consolas"/>
      <b val="1"/>
      <color rgb="00FFD600"/>
      <sz val="9"/>
    </font>
    <font>
      <name val="Consolas"/>
      <b val="1"/>
      <color rgb="00000000"/>
      <sz val="10"/>
    </font>
    <font>
      <name val="Consolas"/>
      <b val="1"/>
      <color rgb="0000E676"/>
      <sz val="9"/>
    </font>
    <font>
      <name val="Consolas"/>
      <b val="1"/>
      <color rgb="0000E676"/>
      <sz val="10"/>
    </font>
    <font>
      <name val="Consolas"/>
      <b val="1"/>
      <color rgb="0000E5FF"/>
      <sz val="10"/>
    </font>
    <font>
      <name val="Consolas"/>
      <b val="1"/>
      <color rgb="00FF1744"/>
      <sz val="10"/>
    </font>
    <font>
      <name val="Consolas"/>
      <b val="1"/>
      <color rgb="00FFD600"/>
      <sz val="10"/>
    </font>
    <font>
      <name val="Consolas"/>
      <b val="1"/>
      <color rgb="00FF6D00"/>
      <sz val="9"/>
    </font>
    <font>
      <name val="Consolas"/>
      <b val="1"/>
      <color rgb="00B0BCD8"/>
      <sz val="10"/>
    </font>
    <font>
      <name val="Consolas"/>
      <b val="1"/>
      <color rgb="0000E676"/>
      <sz val="12"/>
    </font>
    <font>
      <name val="Consolas"/>
      <b val="1"/>
      <color rgb="00FFD600"/>
      <sz val="12"/>
    </font>
    <font>
      <name val="Consolas"/>
      <b val="1"/>
      <color rgb="00FF6D00"/>
      <sz val="10"/>
    </font>
    <font>
      <name val="Consolas"/>
      <b val="1"/>
      <color rgb="00FF6D00"/>
      <sz val="12"/>
    </font>
    <font>
      <name val="Consolas"/>
      <b val="1"/>
      <color rgb="00FF1744"/>
      <sz val="12"/>
    </font>
    <font>
      <name val="Consolas"/>
      <b val="1"/>
      <color rgb="0000E5FF"/>
      <sz val="13"/>
    </font>
    <font>
      <name val="Consolas"/>
      <b val="1"/>
      <color rgb="00FF1744"/>
      <sz val="9"/>
    </font>
    <font>
      <name val="Consolas"/>
      <b val="1"/>
      <color rgb="00E2E8F8"/>
      <sz val="13"/>
    </font>
    <font>
      <name val="Consolas"/>
      <b val="1"/>
      <color rgb="00E2E8F8"/>
      <sz val="11"/>
    </font>
    <font>
      <name val="Consolas"/>
      <b val="1"/>
      <color rgb="0000E5FF"/>
      <sz val="12"/>
    </font>
    <font>
      <name val="Consolas"/>
      <color rgb="00E2E8F8"/>
      <sz val="10"/>
    </font>
    <font>
      <name val="Consolas"/>
      <color rgb="000000FF"/>
      <sz val="10"/>
    </font>
    <font>
      <name val="Consolas"/>
      <color rgb="0000E676"/>
      <sz val="10"/>
    </font>
    <font>
      <name val="Consolas"/>
      <color rgb="00FFD600"/>
      <sz val="10"/>
    </font>
  </fonts>
  <fills count="9">
    <fill>
      <patternFill/>
    </fill>
    <fill>
      <patternFill patternType="gray125"/>
    </fill>
    <fill>
      <patternFill patternType="solid">
        <fgColor rgb="000A0B0D"/>
      </patternFill>
    </fill>
    <fill>
      <patternFill patternType="solid">
        <fgColor rgb="001A2035"/>
      </patternFill>
    </fill>
    <fill>
      <patternFill patternType="solid">
        <fgColor rgb="00161B2A"/>
      </patternFill>
    </fill>
    <fill>
      <patternFill patternType="solid">
        <fgColor rgb="000D1220"/>
      </patternFill>
    </fill>
    <fill>
      <patternFill patternType="solid">
        <fgColor rgb="000D1530"/>
      </patternFill>
    </fill>
    <fill>
      <patternFill patternType="solid">
        <fgColor rgb="00111520"/>
      </patternFill>
    </fill>
    <fill>
      <patternFill patternType="solid">
        <fgColor rgb="000A1020"/>
      </patternFill>
    </fill>
  </fills>
  <borders count="6">
    <border>
      <left/>
      <right/>
      <top/>
      <bottom/>
      <diagonal/>
    </border>
    <border>
      <left style="thin">
        <color rgb="001A2035"/>
      </left>
      <right style="thin">
        <color rgb="001A2035"/>
      </right>
      <top style="thin">
        <color rgb="001A2035"/>
      </top>
      <bottom style="thin">
        <color rgb="001A2035"/>
      </bottom>
    </border>
    <border>
      <left/>
      <right/>
      <top style="thin">
        <color rgb="001A2035"/>
      </top>
      <bottom/>
      <diagonal/>
    </border>
    <border>
      <left/>
      <right style="thin">
        <color rgb="001A2035"/>
      </right>
      <top style="thin">
        <color rgb="001A2035"/>
      </top>
      <bottom/>
      <diagonal/>
    </border>
    <border>
      <left/>
      <right/>
      <top style="thin">
        <color rgb="001A2035"/>
      </top>
      <bottom style="thin">
        <color rgb="001A2035"/>
      </bottom>
      <diagonal/>
    </border>
    <border>
      <left/>
      <right style="thin">
        <color rgb="001A2035"/>
      </right>
      <top style="thin">
        <color rgb="001A2035"/>
      </top>
      <bottom style="thin">
        <color rgb="001A2035"/>
      </bottom>
      <diagonal/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9" fillId="6" borderId="1" applyAlignment="1" pivotButton="0" quotePrefix="0" xfId="0">
      <alignment horizontal="center" vertical="center"/>
    </xf>
    <xf numFmtId="0" fontId="14" fillId="6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65" fontId="10" fillId="8" borderId="1" applyAlignment="1" pivotButton="0" quotePrefix="0" xfId="0">
      <alignment horizontal="right" vertical="center"/>
    </xf>
    <xf numFmtId="0" fontId="10" fillId="8" borderId="1" applyAlignment="1" pivotButton="0" quotePrefix="0" xfId="0">
      <alignment horizontal="right" vertical="center"/>
    </xf>
    <xf numFmtId="166" fontId="10" fillId="8" borderId="1" applyAlignment="1" pivotButton="0" quotePrefix="0" xfId="0">
      <alignment horizontal="right" vertical="center"/>
    </xf>
    <xf numFmtId="0" fontId="13" fillId="8" borderId="1" applyAlignment="1" pivotButton="0" quotePrefix="0" xfId="0">
      <alignment horizontal="right" vertical="center"/>
    </xf>
    <xf numFmtId="167" fontId="10" fillId="8" borderId="1" applyAlignment="1" pivotButton="0" quotePrefix="0" xfId="0">
      <alignment horizontal="right" vertical="center"/>
    </xf>
    <xf numFmtId="0" fontId="15" fillId="8" borderId="1" applyAlignment="1" pivotButton="0" quotePrefix="0" xfId="0">
      <alignment horizontal="right" vertical="center"/>
    </xf>
    <xf numFmtId="168" fontId="10" fillId="8" borderId="1" applyAlignment="1" pivotButton="0" quotePrefix="0" xfId="0">
      <alignment horizontal="right" vertical="center"/>
    </xf>
    <xf numFmtId="0" fontId="11" fillId="8" borderId="1" applyAlignment="1" pivotButton="0" quotePrefix="0" xfId="0">
      <alignment horizontal="right" vertical="center"/>
    </xf>
    <xf numFmtId="0" fontId="5" fillId="8" borderId="1" applyAlignment="1" pivotButton="0" quotePrefix="0" xfId="0">
      <alignment horizontal="right" vertical="center"/>
    </xf>
    <xf numFmtId="0" fontId="7" fillId="3" borderId="1" applyAlignment="1" pivotButton="0" quotePrefix="0" xfId="0">
      <alignment horizontal="center" vertical="center"/>
    </xf>
    <xf numFmtId="2" fontId="10" fillId="8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right" vertical="center"/>
    </xf>
    <xf numFmtId="4" fontId="10" fillId="8" borderId="1" applyAlignment="1" pivotButton="0" quotePrefix="0" xfId="0">
      <alignment horizontal="right" vertical="center"/>
    </xf>
    <xf numFmtId="10" fontId="11" fillId="8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/>
    </xf>
    <xf numFmtId="4" fontId="12" fillId="8" borderId="1" applyAlignment="1" pivotButton="0" quotePrefix="0" xfId="0">
      <alignment horizontal="right" vertical="center"/>
    </xf>
    <xf numFmtId="164" fontId="6" fillId="5" borderId="1" applyAlignment="1" pivotButton="0" quotePrefix="0" xfId="0">
      <alignment horizontal="right" vertical="center"/>
    </xf>
    <xf numFmtId="10" fontId="10" fillId="8" borderId="1" applyAlignment="1" pivotButton="0" quotePrefix="0" xfId="0">
      <alignment horizontal="right" vertical="center"/>
    </xf>
    <xf numFmtId="165" fontId="13" fillId="8" borderId="1" applyAlignment="1" pivotButton="0" quotePrefix="0" xfId="0">
      <alignment horizontal="right" vertical="center"/>
    </xf>
    <xf numFmtId="0" fontId="10" fillId="7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8" fillId="7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4" fontId="16" fillId="2" borderId="1" applyAlignment="1" pivotButton="0" quotePrefix="0" xfId="0">
      <alignment horizontal="center" vertical="center"/>
    </xf>
    <xf numFmtId="4" fontId="17" fillId="2" borderId="1" applyAlignment="1" pivotButton="0" quotePrefix="0" xfId="0">
      <alignment horizontal="center" vertical="center"/>
    </xf>
    <xf numFmtId="4" fontId="19" fillId="2" borderId="1" applyAlignment="1" pivotButton="0" quotePrefix="0" xfId="0">
      <alignment horizontal="center" vertical="center"/>
    </xf>
    <xf numFmtId="4" fontId="20" fillId="2" borderId="1" applyAlignment="1" pivotButton="0" quotePrefix="0" xfId="0">
      <alignment horizontal="center" vertical="center"/>
    </xf>
    <xf numFmtId="0" fontId="21" fillId="2" borderId="0" pivotButton="0" quotePrefix="0" xfId="0"/>
    <xf numFmtId="4" fontId="15" fillId="8" borderId="1" applyAlignment="1" pivotButton="0" quotePrefix="0" xfId="0">
      <alignment horizontal="right" vertical="center"/>
    </xf>
    <xf numFmtId="166" fontId="12" fillId="8" borderId="1" applyAlignment="1" pivotButton="0" quotePrefix="0" xfId="0">
      <alignment horizontal="right" vertical="center"/>
    </xf>
    <xf numFmtId="10" fontId="0" fillId="0" borderId="0" pivotButton="0" quotePrefix="0" xfId="0"/>
    <xf numFmtId="0" fontId="10" fillId="0" borderId="0" pivotButton="0" quotePrefix="0" xfId="0"/>
    <xf numFmtId="0" fontId="13" fillId="0" borderId="0" pivotButton="0" quotePrefix="0" xfId="0"/>
    <xf numFmtId="0" fontId="18" fillId="0" borderId="0" pivotButton="0" quotePrefix="0" xfId="0"/>
    <xf numFmtId="0" fontId="12" fillId="0" borderId="0" pivotButton="0" quotePrefix="0" xfId="0"/>
    <xf numFmtId="4" fontId="16" fillId="0" borderId="0" pivotButton="0" quotePrefix="0" xfId="0"/>
    <xf numFmtId="4" fontId="17" fillId="0" borderId="0" pivotButton="0" quotePrefix="0" xfId="0"/>
    <xf numFmtId="4" fontId="19" fillId="0" borderId="0" pivotButton="0" quotePrefix="0" xfId="0"/>
    <xf numFmtId="4" fontId="20" fillId="0" borderId="0" pivotButton="0" quotePrefix="0" xfId="0"/>
    <xf numFmtId="0" fontId="17" fillId="2" borderId="0" pivotButton="0" quotePrefix="0" xfId="0"/>
    <xf numFmtId="0" fontId="12" fillId="8" borderId="1" applyAlignment="1" pivotButton="0" quotePrefix="0" xfId="0">
      <alignment horizontal="right" vertical="center"/>
    </xf>
    <xf numFmtId="0" fontId="22" fillId="6" borderId="1" applyAlignment="1" pivotButton="0" quotePrefix="0" xfId="0">
      <alignment horizontal="center" vertical="center"/>
    </xf>
    <xf numFmtId="0" fontId="19" fillId="2" borderId="0" pivotButton="0" quotePrefix="0" xfId="0"/>
    <xf numFmtId="0" fontId="14" fillId="3" borderId="1" applyAlignment="1" pivotButton="0" quotePrefix="0" xfId="0">
      <alignment horizontal="center" vertical="center"/>
    </xf>
    <xf numFmtId="0" fontId="20" fillId="2" borderId="0" pivotButton="0" quotePrefix="0" xfId="0"/>
    <xf numFmtId="0" fontId="22" fillId="3" borderId="1" applyAlignment="1" pivotButton="0" quotePrefix="0" xfId="0">
      <alignment horizontal="center" vertical="center"/>
    </xf>
    <xf numFmtId="0" fontId="23" fillId="2" borderId="0" pivotButton="0" quotePrefix="0" xfId="0"/>
    <xf numFmtId="10" fontId="5" fillId="8" borderId="1" applyAlignment="1" pivotButton="0" quotePrefix="0" xfId="0">
      <alignment horizontal="right" vertical="center"/>
    </xf>
    <xf numFmtId="0" fontId="24" fillId="6" borderId="0" pivotButton="0" quotePrefix="0" xfId="0"/>
    <xf numFmtId="3" fontId="25" fillId="6" borderId="0" pivotButton="0" quotePrefix="0" xfId="0"/>
    <xf numFmtId="0" fontId="3" fillId="6" borderId="1" applyAlignment="1" pivotButton="0" quotePrefix="0" xfId="0">
      <alignment horizontal="center" vertical="center"/>
    </xf>
    <xf numFmtId="0" fontId="26" fillId="4" borderId="0" pivotButton="0" quotePrefix="0" xfId="0"/>
    <xf numFmtId="9" fontId="27" fillId="0" borderId="0" pivotButton="0" quotePrefix="0" xfId="0"/>
    <xf numFmtId="3" fontId="4" fillId="0" borderId="0" pivotButton="0" quotePrefix="0" xfId="0"/>
    <xf numFmtId="3" fontId="10" fillId="0" borderId="0" pivotButton="0" quotePrefix="0" xfId="0"/>
    <xf numFmtId="0" fontId="11" fillId="6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/>
    </xf>
    <xf numFmtId="0" fontId="28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9" fillId="2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E676"/>
    <outlinePr summaryBelow="1" summaryRight="1"/>
    <pageSetUpPr/>
  </sheetPr>
  <dimension ref="A1:J2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8" customWidth="1" min="3" max="3"/>
    <col width="22" customWidth="1" min="4" max="4"/>
    <col width="14" customWidth="1" min="5" max="5"/>
    <col width="8" customWidth="1" min="6" max="6"/>
    <col width="20" customWidth="1" min="7" max="7"/>
    <col width="12" customWidth="1" min="8" max="8"/>
    <col width="8" customWidth="1" min="9" max="9"/>
  </cols>
  <sheetData>
    <row r="1" ht="30" customHeight="1">
      <c r="A1" s="1" t="inlineStr">
        <is>
          <t>▦  GRID BOT CALCULATOR</t>
        </is>
      </c>
    </row>
    <row r="2" ht="20" customHeight="1">
      <c r="A2" s="2" t="inlineStr">
        <is>
          <t>Bybit Futures Long Grid  //  XAUT / ETH / MNT / XRP / SOL  //  v1.0</t>
        </is>
      </c>
    </row>
    <row r="4">
      <c r="A4" s="3" t="inlineStr">
        <is>
          <t>РЫНОЧНЫЕ ДАННЫЕ</t>
        </is>
      </c>
      <c r="B4" s="4" t="n"/>
      <c r="C4" s="5" t="n"/>
      <c r="D4" s="6" t="inlineStr">
        <is>
          <t>РЕЗУЛЬТАТЫ</t>
        </is>
      </c>
      <c r="E4" s="4" t="n"/>
      <c r="F4" s="5" t="n"/>
      <c r="G4" s="7" t="inlineStr">
        <is>
          <t>ДОХОДНОСТЬ ПО СЛОЯМ</t>
        </is>
      </c>
      <c r="H4" s="4" t="n"/>
      <c r="I4" s="5" t="n"/>
    </row>
    <row r="5">
      <c r="A5" s="8" t="inlineStr">
        <is>
          <t>Цена текущая</t>
        </is>
      </c>
      <c r="B5" s="9" t="n">
        <v>2450</v>
      </c>
      <c r="C5" s="10" t="inlineStr">
        <is>
          <t>$</t>
        </is>
      </c>
      <c r="D5" s="11" t="inlineStr">
        <is>
          <t>Шаг сетки ($)</t>
        </is>
      </c>
      <c r="E5" s="12">
        <f>(B12-B11)/B13</f>
        <v/>
      </c>
      <c r="G5" s="11" t="inlineStr">
        <is>
          <t>APR сетки</t>
        </is>
      </c>
      <c r="H5" s="13">
        <f>E13</f>
        <v/>
      </c>
    </row>
    <row r="6">
      <c r="A6" s="8" t="inlineStr">
        <is>
          <t>ATR (1H)</t>
        </is>
      </c>
      <c r="B6" s="9" t="n">
        <v>55</v>
      </c>
      <c r="C6" s="10" t="inlineStr">
        <is>
          <t>$</t>
        </is>
      </c>
      <c r="D6" s="11" t="inlineStr">
        <is>
          <t>Шаг сетки (%)</t>
        </is>
      </c>
      <c r="E6" s="14">
        <f>E5/B11*100</f>
        <v/>
      </c>
      <c r="G6" s="11" t="inlineStr">
        <is>
          <t>APR опц.обёртки (est)</t>
        </is>
      </c>
      <c r="H6" s="15">
        <f>15</f>
        <v/>
      </c>
    </row>
    <row r="7">
      <c r="A7" s="8" t="inlineStr">
        <is>
          <t>ATR (1D)</t>
        </is>
      </c>
      <c r="B7" s="9" t="n">
        <v>160</v>
      </c>
      <c r="C7" s="10" t="inlineStr">
        <is>
          <t>$</t>
        </is>
      </c>
      <c r="D7" s="11" t="inlineStr">
        <is>
          <t>Прибыль/ячейка ($)</t>
        </is>
      </c>
      <c r="E7" s="16">
        <f>E5*(B15/B13/B5)-2*B17*(B15/B13)</f>
        <v/>
      </c>
      <c r="G7" s="11" t="inlineStr">
        <is>
          <t>APR депозит</t>
        </is>
      </c>
      <c r="H7" s="17">
        <f>8</f>
        <v/>
      </c>
    </row>
    <row r="8">
      <c r="A8" s="8" t="inlineStr">
        <is>
          <t>ATR (1W)</t>
        </is>
      </c>
      <c r="B8" s="9" t="n">
        <v>520</v>
      </c>
      <c r="C8" s="10" t="inlineStr">
        <is>
          <t>$</t>
        </is>
      </c>
      <c r="D8" s="11" t="inlineStr">
        <is>
          <t>Прибыль/ячейка (%)</t>
        </is>
      </c>
      <c r="E8" s="18">
        <f>E7/(B15/B13)*100</f>
        <v/>
      </c>
      <c r="G8" s="11" t="inlineStr">
        <is>
          <t>ИТОГО APR</t>
        </is>
      </c>
      <c r="H8" s="19">
        <f>G5+G6+G7</f>
        <v/>
      </c>
    </row>
    <row r="9">
      <c r="G9" s="11" t="inlineStr">
        <is>
          <t>$/день</t>
        </is>
      </c>
      <c r="H9" s="20">
        <f>B15*G8/100/365</f>
        <v/>
      </c>
    </row>
    <row r="10">
      <c r="A10" s="21" t="inlineStr">
        <is>
          <t>ПАРАМЕТРЫ СЕТКИ</t>
        </is>
      </c>
      <c r="B10" s="4" t="n"/>
      <c r="C10" s="5" t="n"/>
      <c r="D10" s="11" t="inlineStr">
        <is>
          <t>Срабатываний/день</t>
        </is>
      </c>
      <c r="E10" s="22">
        <f>B7*0.6/E5</f>
        <v/>
      </c>
      <c r="G10" s="11" t="inlineStr">
        <is>
          <t>$/месяц</t>
        </is>
      </c>
      <c r="H10" s="20">
        <f>G9*30</f>
        <v/>
      </c>
    </row>
    <row r="11">
      <c r="A11" s="8" t="inlineStr">
        <is>
          <t>Нижняя граница (Lower)</t>
        </is>
      </c>
      <c r="B11" s="23">
        <f>B5-1.5*B7</f>
        <v/>
      </c>
      <c r="C11" s="10" t="inlineStr">
        <is>
          <t>$</t>
        </is>
      </c>
      <c r="D11" s="11" t="inlineStr">
        <is>
          <t>Дневная прибыль ($)</t>
        </is>
      </c>
      <c r="E11" s="24">
        <f>E7*E10*B13*MIN(0.4,E10/B13)</f>
        <v/>
      </c>
      <c r="G11" s="11" t="inlineStr">
        <is>
          <t>$/год</t>
        </is>
      </c>
      <c r="H11" s="20">
        <f>G9*365</f>
        <v/>
      </c>
    </row>
    <row r="12">
      <c r="A12" s="8" t="inlineStr">
        <is>
          <t>Верхняя граница (Upper)</t>
        </is>
      </c>
      <c r="B12" s="23">
        <f>B5+1.5*B7</f>
        <v/>
      </c>
      <c r="C12" s="10" t="inlineStr">
        <is>
          <t>$</t>
        </is>
      </c>
      <c r="D12" s="11" t="inlineStr">
        <is>
          <t>Месячная прибыль ($)</t>
        </is>
      </c>
      <c r="E12" s="24">
        <f>E11*30</f>
        <v/>
      </c>
    </row>
    <row r="13">
      <c r="A13" s="8" t="inlineStr">
        <is>
          <t>Кол-во ячеек (N)</t>
        </is>
      </c>
      <c r="B13" s="9" t="n">
        <v>30</v>
      </c>
      <c r="C13" s="10" t="inlineStr">
        <is>
          <t>шт</t>
        </is>
      </c>
      <c r="D13" s="11" t="inlineStr">
        <is>
          <t>APR сетки (%)</t>
        </is>
      </c>
      <c r="E13" s="25">
        <f>E11*365/B15*100</f>
        <v/>
      </c>
    </row>
    <row r="14">
      <c r="A14" s="8" t="inlineStr">
        <is>
          <t>Тип</t>
        </is>
      </c>
      <c r="B14" s="9" t="inlineStr">
        <is>
          <t>Arithmetic</t>
        </is>
      </c>
    </row>
    <row r="15">
      <c r="A15" s="8" t="inlineStr">
        <is>
          <t>Объём инвестиций</t>
        </is>
      </c>
      <c r="B15" s="9" t="n">
        <v>5000</v>
      </c>
      <c r="C15" s="10" t="inlineStr">
        <is>
          <t>$</t>
        </is>
      </c>
      <c r="D15" s="26" t="inlineStr">
        <is>
          <t>ЛИКВИДАЦИЯ</t>
        </is>
      </c>
      <c r="E15" s="26" t="inlineStr"/>
      <c r="F15" s="26" t="inlineStr"/>
      <c r="G15" s="26" t="inlineStr"/>
      <c r="H15" s="26" t="inlineStr"/>
    </row>
    <row r="16">
      <c r="A16" s="8" t="inlineStr">
        <is>
          <t>Плечо</t>
        </is>
      </c>
      <c r="B16" s="9" t="n">
        <v>1.5</v>
      </c>
      <c r="C16" s="10" t="inlineStr">
        <is>
          <t>×</t>
        </is>
      </c>
      <c r="D16" s="11" t="inlineStr">
        <is>
          <t>Цена ликвидации</t>
        </is>
      </c>
      <c r="E16" s="27">
        <f>B5*(1-1/B16+0.005)</f>
        <v/>
      </c>
    </row>
    <row r="17">
      <c r="A17" s="8" t="inlineStr">
        <is>
          <t>Taker fee</t>
        </is>
      </c>
      <c r="B17" s="28" t="n">
        <v>0.00055</v>
      </c>
      <c r="D17" s="11" t="inlineStr">
        <is>
          <t>Буфер до ликвид. (%)</t>
        </is>
      </c>
      <c r="E17" s="29">
        <f>(B11-E16)/E16*100</f>
        <v/>
      </c>
    </row>
    <row r="18">
      <c r="D18" s="11" t="inlineStr">
        <is>
          <t>Мин. шаг (безубыток)</t>
        </is>
      </c>
      <c r="E18" s="30">
        <f>2*B17*B5</f>
        <v/>
      </c>
    </row>
    <row r="19">
      <c r="D19" s="11" t="inlineStr">
        <is>
          <t>Шаг &gt; Мин?</t>
        </is>
      </c>
      <c r="E19" s="13">
        <f>IF(E5&gt;E18,"✓ БЕЗОПАСНО","⚠ РИСК")</f>
        <v/>
      </c>
    </row>
    <row r="20">
      <c r="D20" s="11" t="inlineStr">
        <is>
          <t>Ликвидация безопасна?</t>
        </is>
      </c>
      <c r="E20" s="13">
        <f>IF(B11&gt;E16*1.3,"✓ OK","⚠ РИСК")</f>
        <v/>
      </c>
    </row>
    <row r="23">
      <c r="A23" s="26" t="inlineStr">
        <is>
          <t>СЦЕНАРИИ</t>
        </is>
      </c>
      <c r="B23" s="4" t="n"/>
      <c r="C23" s="4" t="n"/>
      <c r="D23" s="4" t="n"/>
      <c r="E23" s="4" t="n"/>
      <c r="F23" s="4" t="n"/>
      <c r="G23" s="4" t="n"/>
      <c r="H23" s="4" t="n"/>
      <c r="I23" s="5" t="n"/>
    </row>
    <row r="24">
      <c r="A24" s="31" t="inlineStr">
        <is>
          <t>ЛУЧШИЙ</t>
        </is>
      </c>
      <c r="D24" s="32" t="inlineStr">
        <is>
          <t>СРЕДНИЙ</t>
        </is>
      </c>
      <c r="G24" s="33" t="inlineStr">
        <is>
          <t>ПЛОХОЙ</t>
        </is>
      </c>
      <c r="J24" s="34" t="inlineStr">
        <is>
          <t>ХУДШИЙ (пробой-30%)</t>
        </is>
      </c>
    </row>
    <row r="25">
      <c r="A25" s="35">
        <f>E11*365*1.2+B15*0.15</f>
        <v/>
      </c>
      <c r="D25" s="36">
        <f>E11*365*0.7+B15*0.1</f>
        <v/>
      </c>
      <c r="G25" s="37">
        <f>E11*365*0.2</f>
        <v/>
      </c>
      <c r="J25" s="38">
        <f>-B15*0.075</f>
        <v/>
      </c>
    </row>
  </sheetData>
  <mergeCells count="7">
    <mergeCell ref="A10:C10"/>
    <mergeCell ref="A2:I2"/>
    <mergeCell ref="D4:F4"/>
    <mergeCell ref="A1:I1"/>
    <mergeCell ref="A23:I23"/>
    <mergeCell ref="G4:I4"/>
    <mergeCell ref="A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E5FF"/>
    <outlinePr summaryBelow="1" summaryRight="1"/>
    <pageSetUpPr/>
  </sheetPr>
  <dimension ref="A1:G1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8" customWidth="1" min="3" max="3"/>
    <col width="24" customWidth="1" min="4" max="4"/>
    <col width="14" customWidth="1" min="5" max="5"/>
    <col width="8" customWidth="1" min="6" max="6"/>
  </cols>
  <sheetData>
    <row r="1">
      <c r="A1" s="39" t="inlineStr">
        <is>
          <t>⇄  BASIS ARB CALCULATOR  //  Bybit Spot + Deribit Futures</t>
        </is>
      </c>
    </row>
    <row r="3">
      <c r="A3" s="3" t="inlineStr">
        <is>
          <t>ВХОДНЫЕ ДАННЫЕ</t>
        </is>
      </c>
      <c r="B3" s="4" t="n"/>
      <c r="C3" s="5" t="n"/>
      <c r="D3" s="6" t="inlineStr">
        <is>
          <t>РАСЧЁТЫ</t>
        </is>
      </c>
      <c r="E3" s="4" t="n"/>
      <c r="F3" s="5" t="n"/>
    </row>
    <row r="4">
      <c r="A4" s="8" t="inlineStr">
        <is>
          <t>Спот цена (Bybit)</t>
        </is>
      </c>
      <c r="B4" s="9" t="n">
        <v>2450</v>
      </c>
      <c r="C4" s="10" t="inlineStr">
        <is>
          <t>$</t>
        </is>
      </c>
      <c r="D4" s="11" t="inlineStr">
        <is>
          <t>Basis ($)</t>
        </is>
      </c>
      <c r="E4" s="17">
        <f>B5-B4</f>
        <v/>
      </c>
    </row>
    <row r="5">
      <c r="A5" s="8" t="inlineStr">
        <is>
          <t>Фьюч цена (Deribit)</t>
        </is>
      </c>
      <c r="B5" s="9" t="n">
        <v>2485</v>
      </c>
      <c r="C5" s="10" t="inlineStr">
        <is>
          <t>$</t>
        </is>
      </c>
      <c r="D5" s="11" t="inlineStr">
        <is>
          <t>Basis (%)</t>
        </is>
      </c>
      <c r="E5" s="17">
        <f>(B5-B4)/B4</f>
        <v/>
      </c>
    </row>
    <row r="6">
      <c r="A6" s="8" t="inlineStr">
        <is>
          <t>Дней до экспирации</t>
        </is>
      </c>
      <c r="B6" s="9" t="n">
        <v>30</v>
      </c>
      <c r="C6" s="10" t="inlineStr">
        <is>
          <t>дн</t>
        </is>
      </c>
      <c r="D6" s="11" t="inlineStr">
        <is>
          <t>Annualized basis (%)</t>
        </is>
      </c>
      <c r="E6" s="19">
        <f>(B5-B4)/B4*(365/B6)</f>
        <v/>
      </c>
    </row>
    <row r="7">
      <c r="A7" s="8" t="inlineStr">
        <is>
          <t>Лотов (ед. актива)</t>
        </is>
      </c>
      <c r="B7" s="9" t="n">
        <v>1</v>
      </c>
      <c r="C7" s="10" t="inlineStr">
        <is>
          <t>шт</t>
        </is>
      </c>
      <c r="D7" s="11" t="inlineStr">
        <is>
          <t>Gross P&amp;L</t>
        </is>
      </c>
      <c r="E7" s="40">
        <f>(B5-B4)*B7</f>
        <v/>
      </c>
    </row>
    <row r="8">
      <c r="A8" s="8" t="inlineStr">
        <is>
          <t>Spot fee Bybit</t>
        </is>
      </c>
      <c r="B8" s="9" t="n">
        <v>0.00055</v>
      </c>
      <c r="D8" s="11" t="inlineStr">
        <is>
          <t>Fees (вход+выход)</t>
        </is>
      </c>
      <c r="E8" s="41">
        <f>(B4*B8+B5*B9)*B7*2</f>
        <v/>
      </c>
    </row>
    <row r="9">
      <c r="A9" s="8" t="inlineStr">
        <is>
          <t>Futures fee Deribit</t>
        </is>
      </c>
      <c r="B9" s="9" t="n">
        <v>0.0003</v>
      </c>
      <c r="D9" s="11" t="inlineStr">
        <is>
          <t>Net P&amp;L</t>
        </is>
      </c>
      <c r="E9" s="29">
        <f>E7-E8</f>
        <v/>
      </c>
    </row>
    <row r="10">
      <c r="D10" s="11" t="inlineStr">
        <is>
          <t>Капитал</t>
        </is>
      </c>
      <c r="E10" s="40">
        <f>B4*B7+B5*B7*0.05</f>
        <v/>
      </c>
    </row>
    <row r="11">
      <c r="D11" s="11" t="inlineStr">
        <is>
          <t>ROI на период (%)</t>
        </is>
      </c>
      <c r="E11" s="40">
        <f>E9/E10*100</f>
        <v/>
      </c>
    </row>
    <row r="12">
      <c r="D12" s="11" t="inlineStr">
        <is>
          <t>ROI годовых (%)</t>
        </is>
      </c>
      <c r="E12" s="24">
        <f>E11*(365/B6)</f>
        <v/>
      </c>
    </row>
    <row r="13">
      <c r="D13" s="11" t="inlineStr">
        <is>
          <t>$/день схождения</t>
        </is>
      </c>
      <c r="E13" s="24">
        <f>E9/B6</f>
        <v/>
      </c>
    </row>
    <row r="14">
      <c r="E14" s="42" t="n"/>
    </row>
    <row r="15">
      <c r="E15" s="42" t="n"/>
    </row>
    <row r="16">
      <c r="A16" s="26" t="inlineStr">
        <is>
          <t>СЦЕНАРИИ СХОЖДЕНИЯ</t>
        </is>
      </c>
      <c r="B16" s="4" t="n"/>
      <c r="C16" s="4" t="n"/>
      <c r="D16" s="4" t="n"/>
      <c r="E16" s="4" t="n"/>
      <c r="F16" s="5" t="n"/>
    </row>
    <row r="17">
      <c r="A17" s="43" t="inlineStr">
        <is>
          <t>ЛУЧШИЙ</t>
        </is>
      </c>
      <c r="C17" s="44" t="inlineStr">
        <is>
          <t>СРЕДНИЙ</t>
        </is>
      </c>
      <c r="E17" s="45" t="inlineStr">
        <is>
          <t>ПЛОХОЙ</t>
        </is>
      </c>
      <c r="G17" s="46" t="inlineStr">
        <is>
          <t>ХУДШИЙ</t>
        </is>
      </c>
    </row>
    <row r="18">
      <c r="A18" s="47">
        <f>E9</f>
        <v/>
      </c>
      <c r="C18" s="48">
        <f>E9*0.8</f>
        <v/>
      </c>
      <c r="E18" s="49">
        <f>E9*0.3</f>
        <v/>
      </c>
      <c r="G18" s="50">
        <f>-E9*0.2</f>
        <v/>
      </c>
    </row>
  </sheetData>
  <mergeCells count="4">
    <mergeCell ref="A3:C3"/>
    <mergeCell ref="A16:F16"/>
    <mergeCell ref="D3:F3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D600"/>
    <outlinePr summaryBelow="1" summaryRight="1"/>
    <pageSetUpPr/>
  </sheetPr>
  <dimension ref="A1:F2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8" customWidth="1" min="3" max="3"/>
    <col width="26" customWidth="1" min="4" max="4"/>
    <col width="14" customWidth="1" min="5" max="5"/>
    <col width="8" customWidth="1" min="6" max="6"/>
  </cols>
  <sheetData>
    <row r="1">
      <c r="A1" s="51" t="inlineStr">
        <is>
          <t>◉  OPTIONS WRAPPER CALCULATOR  //  Sold Call + Sold Put + Bought Put</t>
        </is>
      </c>
    </row>
    <row r="3">
      <c r="A3" s="21" t="inlineStr">
        <is>
          <t>БОТ + ГРАНИЦЫ</t>
        </is>
      </c>
      <c r="B3" s="4" t="n"/>
      <c r="C3" s="5" t="n"/>
      <c r="D3" s="6" t="inlineStr">
        <is>
          <t>РЕЗУЛЬТАТЫ</t>
        </is>
      </c>
      <c r="E3" s="4" t="n"/>
      <c r="F3" s="5" t="n"/>
    </row>
    <row r="4">
      <c r="A4" s="8" t="inlineStr">
        <is>
          <t>Нижняя сетки (Lower)</t>
        </is>
      </c>
      <c r="B4" s="9" t="n">
        <v>2270</v>
      </c>
      <c r="C4" s="10" t="inlineStr">
        <is>
          <t>$</t>
        </is>
      </c>
      <c r="D4" s="11" t="inlineStr">
        <is>
          <t>Нетто премия</t>
        </is>
      </c>
      <c r="E4" s="13">
        <f>(B12+B17-B22)*B7</f>
        <v/>
      </c>
    </row>
    <row r="5">
      <c r="A5" s="8" t="inlineStr">
        <is>
          <t>Верхняя сетки (Upper)</t>
        </is>
      </c>
      <c r="B5" s="9" t="n">
        <v>2630</v>
      </c>
      <c r="C5" s="10" t="inlineStr">
        <is>
          <t>$</t>
        </is>
      </c>
      <c r="D5" s="11" t="inlineStr">
        <is>
          <t>Нетто тета/день</t>
        </is>
      </c>
      <c r="E5" s="13">
        <f>(B13+B18-B23)*B7</f>
        <v/>
      </c>
    </row>
    <row r="6">
      <c r="A6" s="8" t="inlineStr">
        <is>
          <t>Объём бота</t>
        </is>
      </c>
      <c r="B6" s="9" t="n">
        <v>5000</v>
      </c>
      <c r="C6" s="10" t="inlineStr">
        <is>
          <t>$</t>
        </is>
      </c>
      <c r="D6" s="11" t="inlineStr">
        <is>
          <t>APR обёртки (%)</t>
        </is>
      </c>
      <c r="E6" s="19">
        <f>E4*(365/B8)/B6*100</f>
        <v/>
      </c>
    </row>
    <row r="7">
      <c r="A7" s="8" t="inlineStr">
        <is>
          <t>Лотов (контрактов)</t>
        </is>
      </c>
      <c r="B7" s="9" t="n">
        <v>1</v>
      </c>
      <c r="C7" s="10" t="inlineStr">
        <is>
          <t>шт</t>
        </is>
      </c>
      <c r="D7" s="11" t="inlineStr">
        <is>
          <t>Макс убыток PUT спред</t>
        </is>
      </c>
      <c r="E7" s="52">
        <f>(B21-B16)*B7-E4</f>
        <v/>
      </c>
    </row>
    <row r="8">
      <c r="A8" s="8" t="inlineStr">
        <is>
          <t>Дней до экспир.</t>
        </is>
      </c>
      <c r="B8" s="9" t="n">
        <v>30</v>
      </c>
      <c r="C8" s="10" t="inlineStr">
        <is>
          <t>дн</t>
        </is>
      </c>
      <c r="D8" s="11" t="inlineStr">
        <is>
          <t>Break-even вниз</t>
        </is>
      </c>
      <c r="E8" s="15">
        <f>B16-E4/B7</f>
        <v/>
      </c>
    </row>
    <row r="9">
      <c r="D9" s="11" t="inlineStr">
        <is>
          <t>Break-even вверх</t>
        </is>
      </c>
      <c r="E9" s="15">
        <f>B11+E4/B7</f>
        <v/>
      </c>
    </row>
    <row r="10">
      <c r="A10" s="6" t="inlineStr">
        <is>
          <t>SOLD CALL (Upper×1.05)</t>
        </is>
      </c>
      <c r="B10" s="4" t="n"/>
      <c r="C10" s="5" t="n"/>
      <c r="D10" s="11" t="inlineStr">
        <is>
          <t>Доход за период</t>
        </is>
      </c>
      <c r="E10" s="13">
        <f>E5*B8</f>
        <v/>
      </c>
    </row>
    <row r="11">
      <c r="A11" s="8" t="inlineStr">
        <is>
          <t>Страйк</t>
        </is>
      </c>
      <c r="B11" s="23">
        <f>B5*1.05</f>
        <v/>
      </c>
      <c r="C11" s="10" t="inlineStr">
        <is>
          <t>$</t>
        </is>
      </c>
      <c r="D11" s="11" t="inlineStr">
        <is>
          <t>APR совокупный</t>
        </is>
      </c>
      <c r="E11" s="19">
        <f>(E7/(B8/365))/B6*100</f>
        <v/>
      </c>
    </row>
    <row r="12">
      <c r="A12" s="8" t="inlineStr">
        <is>
          <t>Премия</t>
        </is>
      </c>
      <c r="B12" s="9" t="n">
        <v>45</v>
      </c>
      <c r="C12" s="10" t="inlineStr">
        <is>
          <t>$</t>
        </is>
      </c>
    </row>
    <row r="13">
      <c r="A13" s="8" t="inlineStr">
        <is>
          <t>Theta/день</t>
        </is>
      </c>
      <c r="B13" s="9" t="n">
        <v>1.8</v>
      </c>
      <c r="C13" s="10" t="inlineStr">
        <is>
          <t>$</t>
        </is>
      </c>
    </row>
    <row r="15">
      <c r="A15" s="7" t="inlineStr">
        <is>
          <t>SOLD PUT (Lower×0.90)</t>
        </is>
      </c>
      <c r="B15" s="4" t="n"/>
      <c r="C15" s="5" t="n"/>
    </row>
    <row r="16">
      <c r="A16" s="8" t="inlineStr">
        <is>
          <t>Страйк</t>
        </is>
      </c>
      <c r="B16" s="23">
        <f>B4*0.90</f>
        <v/>
      </c>
      <c r="C16" s="10" t="inlineStr">
        <is>
          <t>$</t>
        </is>
      </c>
    </row>
    <row r="17">
      <c r="A17" s="8" t="inlineStr">
        <is>
          <t>Премия</t>
        </is>
      </c>
      <c r="B17" s="9" t="n">
        <v>35</v>
      </c>
      <c r="C17" s="10" t="inlineStr">
        <is>
          <t>$</t>
        </is>
      </c>
    </row>
    <row r="18">
      <c r="A18" s="8" t="inlineStr">
        <is>
          <t>Theta/день</t>
        </is>
      </c>
      <c r="B18" s="9" t="n">
        <v>1.4</v>
      </c>
      <c r="C18" s="10" t="inlineStr">
        <is>
          <t>$</t>
        </is>
      </c>
    </row>
    <row r="20">
      <c r="A20" s="53" t="inlineStr">
        <is>
          <t>BOUGHT PUT (Lower×0.95)</t>
        </is>
      </c>
      <c r="B20" s="4" t="n"/>
      <c r="C20" s="5" t="n"/>
    </row>
    <row r="21">
      <c r="A21" s="8" t="inlineStr">
        <is>
          <t>Страйк</t>
        </is>
      </c>
      <c r="B21" s="23">
        <f>B4*0.95</f>
        <v/>
      </c>
      <c r="C21" s="10" t="inlineStr">
        <is>
          <t>$</t>
        </is>
      </c>
    </row>
    <row r="22">
      <c r="A22" s="8" t="inlineStr">
        <is>
          <t>Премия</t>
        </is>
      </c>
      <c r="B22" s="9" t="n">
        <v>60</v>
      </c>
      <c r="C22" s="10" t="inlineStr">
        <is>
          <t>$</t>
        </is>
      </c>
    </row>
    <row r="23">
      <c r="A23" s="8" t="inlineStr">
        <is>
          <t>Theta/день</t>
        </is>
      </c>
      <c r="B23" s="9" t="n">
        <v>2.1</v>
      </c>
      <c r="C23" s="10" t="inlineStr">
        <is>
          <t>$</t>
        </is>
      </c>
    </row>
  </sheetData>
  <mergeCells count="6">
    <mergeCell ref="A10:C10"/>
    <mergeCell ref="A1:F1"/>
    <mergeCell ref="D3:F3"/>
    <mergeCell ref="A3:C3"/>
    <mergeCell ref="A15:C15"/>
    <mergeCell ref="A20:C2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6D00"/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8" customWidth="1" min="3" max="3"/>
    <col width="26" customWidth="1" min="4" max="4"/>
    <col width="14" customWidth="1" min="5" max="5"/>
    <col width="8" customWidth="1" min="6" max="6"/>
  </cols>
  <sheetData>
    <row r="1">
      <c r="A1" s="54" t="inlineStr">
        <is>
          <t>∿  IV ARB CALCULATOR  //  Bybit Options vs Deribit Options</t>
        </is>
      </c>
    </row>
    <row r="3">
      <c r="A3" s="55" t="inlineStr">
        <is>
          <t>ВХОДНЫЕ ДАННЫЕ</t>
        </is>
      </c>
      <c r="B3" s="4" t="n"/>
      <c r="C3" s="5" t="n"/>
      <c r="D3" s="6" t="inlineStr">
        <is>
          <t>РЕЗУЛЬТАТЫ</t>
        </is>
      </c>
      <c r="E3" s="4" t="n"/>
      <c r="F3" s="5" t="n"/>
    </row>
    <row r="4">
      <c r="A4" s="8" t="inlineStr">
        <is>
          <t>IV Deribit (продаём, %)</t>
        </is>
      </c>
      <c r="B4" s="9" t="n">
        <v>68</v>
      </c>
      <c r="C4" s="10" t="inlineStr">
        <is>
          <t>%</t>
        </is>
      </c>
      <c r="D4" s="11" t="inlineStr">
        <is>
          <t>IV спред (%)</t>
        </is>
      </c>
      <c r="E4" s="19">
        <f>B4-B5</f>
        <v/>
      </c>
    </row>
    <row r="5">
      <c r="A5" s="8" t="inlineStr">
        <is>
          <t>IV Bybit (покупаем, %)</t>
        </is>
      </c>
      <c r="B5" s="9" t="n">
        <v>63</v>
      </c>
      <c r="C5" s="10" t="inlineStr">
        <is>
          <t>%</t>
        </is>
      </c>
      <c r="D5" s="11" t="inlineStr">
        <is>
          <t>IV прем. vs RV (%)</t>
        </is>
      </c>
      <c r="E5" s="13">
        <f>B4-B6</f>
        <v/>
      </c>
    </row>
    <row r="6">
      <c r="A6" s="8" t="inlineStr">
        <is>
          <t>RV реализованная (%)</t>
        </is>
      </c>
      <c r="B6" s="9" t="n">
        <v>55</v>
      </c>
      <c r="C6" s="10" t="inlineStr">
        <is>
          <t>%</t>
        </is>
      </c>
      <c r="D6" s="11" t="inlineStr">
        <is>
          <t>Vega P&amp;L</t>
        </is>
      </c>
      <c r="E6" s="13">
        <f>(B4-B5)*B7*B8</f>
        <v/>
      </c>
    </row>
    <row r="7">
      <c r="A7" s="8" t="inlineStr">
        <is>
          <t>Vega ($/1% IV)</t>
        </is>
      </c>
      <c r="B7" s="9" t="n">
        <v>12</v>
      </c>
      <c r="C7" s="10" t="inlineStr">
        <is>
          <t>$</t>
        </is>
      </c>
      <c r="D7" s="11" t="inlineStr">
        <is>
          <t>Комиссии</t>
        </is>
      </c>
      <c r="E7" s="52">
        <f>(B10+B11)*B12*B8*2</f>
        <v/>
      </c>
    </row>
    <row r="8">
      <c r="A8" s="8" t="inlineStr">
        <is>
          <t>Лотов</t>
        </is>
      </c>
      <c r="B8" s="9" t="n">
        <v>5</v>
      </c>
      <c r="C8" s="10" t="inlineStr">
        <is>
          <t>шт</t>
        </is>
      </c>
      <c r="D8" s="11" t="inlineStr">
        <is>
          <t>Net P&amp;L</t>
        </is>
      </c>
      <c r="E8" s="13">
        <f>E6-E7</f>
        <v/>
      </c>
    </row>
    <row r="9">
      <c r="A9" s="8" t="inlineStr">
        <is>
          <t>Fee sell (Deribit)</t>
        </is>
      </c>
      <c r="B9" s="9" t="n">
        <v>0.0003</v>
      </c>
      <c r="D9" s="11" t="inlineStr">
        <is>
          <t>Break-even спред (%)</t>
        </is>
      </c>
      <c r="E9" s="15">
        <f>E7/(B7*B8)</f>
        <v/>
      </c>
    </row>
    <row r="10">
      <c r="A10" s="8" t="inlineStr">
        <is>
          <t>Fee buy (Bybit)</t>
        </is>
      </c>
      <c r="B10" s="9" t="n">
        <v>0.00055</v>
      </c>
      <c r="D10" s="11" t="inlineStr">
        <is>
          <t>Капитал (маржа)</t>
        </is>
      </c>
      <c r="E10" s="17">
        <f>B12*B8*0.1</f>
        <v/>
      </c>
    </row>
    <row r="11">
      <c r="A11" s="8" t="inlineStr">
        <is>
          <t>Цена актива</t>
        </is>
      </c>
      <c r="B11" s="9" t="n">
        <v>2450</v>
      </c>
      <c r="C11" s="10" t="inlineStr">
        <is>
          <t>$</t>
        </is>
      </c>
      <c r="D11" s="11" t="inlineStr">
        <is>
          <t>ROI (%)</t>
        </is>
      </c>
      <c r="E11" s="19">
        <f>E8/E9*100</f>
        <v/>
      </c>
    </row>
    <row r="12">
      <c r="A12" s="8" t="inlineStr">
        <is>
          <t>Дней до экспир.</t>
        </is>
      </c>
      <c r="B12" s="9" t="n">
        <v>30</v>
      </c>
      <c r="C12" s="10" t="inlineStr">
        <is>
          <t>дн</t>
        </is>
      </c>
      <c r="D12" s="11" t="inlineStr">
        <is>
          <t>ROI годовых (%)</t>
        </is>
      </c>
      <c r="E12" s="19">
        <f>E11*(365/B13)</f>
        <v/>
      </c>
    </row>
    <row r="13">
      <c r="D13" s="11" t="inlineStr">
        <is>
          <t>Виабельность?</t>
        </is>
      </c>
      <c r="E13" s="13">
        <f>IF(E4&gt;E9,"✓ ВИАБЕЛЬНЫЙ","✗ НЕТ СПРЕДА")</f>
        <v/>
      </c>
    </row>
  </sheetData>
  <mergeCells count="3">
    <mergeCell ref="A3:C3"/>
    <mergeCell ref="D3:F3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1744"/>
    <outlinePr summaryBelow="1" summaryRight="1"/>
    <pageSetUpPr/>
  </sheetPr>
  <dimension ref="A1:F2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8" customWidth="1" min="3" max="3"/>
    <col width="26" customWidth="1" min="4" max="4"/>
    <col width="14" customWidth="1" min="5" max="5"/>
    <col width="8" customWidth="1" min="6" max="6"/>
  </cols>
  <sheetData>
    <row r="1">
      <c r="A1" s="56" t="inlineStr">
        <is>
          <t>⊞  CALENDAR SPREAD CALCULATOR  //  Deribit Near vs Far Expiry</t>
        </is>
      </c>
    </row>
    <row r="3">
      <c r="A3" s="57" t="inlineStr">
        <is>
          <t>БЛИЖНЯЯ (продаём)</t>
        </is>
      </c>
      <c r="B3" s="4" t="n"/>
      <c r="C3" s="5" t="n"/>
      <c r="D3" s="6" t="inlineStr">
        <is>
          <t>РЕЗУЛЬТАТЫ</t>
        </is>
      </c>
      <c r="E3" s="4" t="n"/>
      <c r="F3" s="5" t="n"/>
    </row>
    <row r="4">
      <c r="A4" s="8" t="inlineStr">
        <is>
          <t>IV ближний (%)</t>
        </is>
      </c>
      <c r="B4" s="9" t="n">
        <v>72</v>
      </c>
      <c r="C4" s="10" t="inlineStr">
        <is>
          <t>%</t>
        </is>
      </c>
      <c r="D4" s="11" t="inlineStr">
        <is>
          <t>IV спред (%)</t>
        </is>
      </c>
      <c r="E4" s="19">
        <f>B4-B12</f>
        <v/>
      </c>
    </row>
    <row r="5">
      <c r="A5" s="8" t="inlineStr">
        <is>
          <t>Theta/день ($)</t>
        </is>
      </c>
      <c r="B5" s="9" t="n">
        <v>8.5</v>
      </c>
      <c r="C5" s="10" t="inlineStr">
        <is>
          <t>$</t>
        </is>
      </c>
      <c r="D5" s="11" t="inlineStr">
        <is>
          <t>Net дебет (вход)</t>
        </is>
      </c>
      <c r="E5" s="52">
        <f>(B17-B9)*B19</f>
        <v/>
      </c>
    </row>
    <row r="6">
      <c r="A6" s="8" t="inlineStr">
        <is>
          <t>Gamma</t>
        </is>
      </c>
      <c r="B6" s="9" t="n">
        <v>0.0015</v>
      </c>
      <c r="D6" s="11" t="inlineStr">
        <is>
          <t>Net тета/день</t>
        </is>
      </c>
      <c r="E6" s="13">
        <f>(B5-B13)*B19</f>
        <v/>
      </c>
    </row>
    <row r="7">
      <c r="A7" s="8" t="inlineStr">
        <is>
          <t>Vega ($)</t>
        </is>
      </c>
      <c r="B7" s="9" t="n">
        <v>9</v>
      </c>
      <c r="C7" s="10" t="inlineStr">
        <is>
          <t>$</t>
        </is>
      </c>
      <c r="D7" s="11" t="inlineStr">
        <is>
          <t>Net вега</t>
        </is>
      </c>
      <c r="E7" s="19">
        <f>(B15-B7)*B19</f>
        <v/>
      </c>
    </row>
    <row r="8">
      <c r="A8" s="8" t="inlineStr">
        <is>
          <t>Дней до экспир.</t>
        </is>
      </c>
      <c r="B8" s="9" t="n">
        <v>14</v>
      </c>
      <c r="C8" s="10" t="inlineStr">
        <is>
          <t>дн</t>
        </is>
      </c>
      <c r="D8" s="11" t="inlineStr">
        <is>
          <t>Net гамма</t>
        </is>
      </c>
      <c r="E8" s="17">
        <f>(B14-B6)*B19</f>
        <v/>
      </c>
    </row>
    <row r="9">
      <c r="A9" s="8" t="inlineStr">
        <is>
          <t>Премия ($)</t>
        </is>
      </c>
      <c r="B9" s="9" t="n">
        <v>85</v>
      </c>
      <c r="C9" s="10" t="inlineStr">
        <is>
          <t>$</t>
        </is>
      </c>
      <c r="D9" s="11" t="inlineStr">
        <is>
          <t>Break-even движение (%)</t>
        </is>
      </c>
      <c r="E9" s="15">
        <f>IF(E8&lt;&gt;0,SQRT(2*ABS(E6)/ABS(E8))/B20*100,5)</f>
        <v/>
      </c>
    </row>
    <row r="10">
      <c r="D10" s="11" t="inlineStr">
        <is>
          <t>Макс прибыль @ страйк</t>
        </is>
      </c>
      <c r="E10" s="13">
        <f>E6*B8-E5</f>
        <v/>
      </c>
    </row>
    <row r="11">
      <c r="A11" s="3" t="inlineStr">
        <is>
          <t>ДАЛЬНЯЯ (покупаем)</t>
        </is>
      </c>
      <c r="B11" s="4" t="n"/>
      <c r="C11" s="5" t="n"/>
      <c r="D11" s="11" t="inlineStr">
        <is>
          <t>APR оценка (%)</t>
        </is>
      </c>
      <c r="E11" s="19">
        <f>IF(E5&gt;0,(E10/ABS(E5))*(365/B8)*100,0)</f>
        <v/>
      </c>
    </row>
    <row r="12">
      <c r="A12" s="8" t="inlineStr">
        <is>
          <t>IV дальний (%)</t>
        </is>
      </c>
      <c r="B12" s="9" t="n">
        <v>65</v>
      </c>
      <c r="C12" s="10" t="inlineStr">
        <is>
          <t>%</t>
        </is>
      </c>
      <c r="D12" s="11" t="inlineStr">
        <is>
          <t>P&amp;L @ экспирации (best)</t>
        </is>
      </c>
      <c r="E12" s="13">
        <f>E6*B8-E5</f>
        <v/>
      </c>
    </row>
    <row r="13">
      <c r="A13" s="8" t="inlineStr">
        <is>
          <t>Theta/день ($)</t>
        </is>
      </c>
      <c r="B13" s="9" t="n">
        <v>5.2</v>
      </c>
      <c r="C13" s="10" t="inlineStr">
        <is>
          <t>$</t>
        </is>
      </c>
    </row>
    <row r="14">
      <c r="A14" s="8" t="inlineStr">
        <is>
          <t>Gamma</t>
        </is>
      </c>
      <c r="B14" s="9" t="n">
        <v>0.0008</v>
      </c>
    </row>
    <row r="15">
      <c r="A15" s="8" t="inlineStr">
        <is>
          <t>Vega ($)</t>
        </is>
      </c>
      <c r="B15" s="9" t="n">
        <v>14</v>
      </c>
      <c r="C15" s="10" t="inlineStr">
        <is>
          <t>$</t>
        </is>
      </c>
    </row>
    <row r="16">
      <c r="A16" s="8" t="inlineStr">
        <is>
          <t>Дней до экспир.</t>
        </is>
      </c>
      <c r="B16" s="9" t="n">
        <v>42</v>
      </c>
      <c r="C16" s="10" t="inlineStr">
        <is>
          <t>дн</t>
        </is>
      </c>
    </row>
    <row r="17">
      <c r="A17" s="8" t="inlineStr">
        <is>
          <t>Премия ($)</t>
        </is>
      </c>
      <c r="B17" s="9" t="n">
        <v>120</v>
      </c>
      <c r="C17" s="10" t="inlineStr">
        <is>
          <t>$</t>
        </is>
      </c>
    </row>
    <row r="19">
      <c r="A19" s="8" t="inlineStr">
        <is>
          <t>Лотов</t>
        </is>
      </c>
      <c r="B19" s="9" t="n">
        <v>3</v>
      </c>
      <c r="C19" s="10" t="inlineStr">
        <is>
          <t>шт</t>
        </is>
      </c>
    </row>
    <row r="20">
      <c r="A20" s="8" t="inlineStr">
        <is>
          <t>Цена актива</t>
        </is>
      </c>
      <c r="B20" s="9" t="n">
        <v>2450</v>
      </c>
      <c r="C20" s="10" t="inlineStr">
        <is>
          <t>$</t>
        </is>
      </c>
    </row>
  </sheetData>
  <mergeCells count="4">
    <mergeCell ref="A3:C3"/>
    <mergeCell ref="D3:F3"/>
    <mergeCell ref="A1:F1"/>
    <mergeCell ref="A11:C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B0BCD8"/>
    <outlinePr summaryBelow="1" summaryRight="1"/>
    <pageSetUpPr/>
  </sheetPr>
  <dimension ref="A1:F2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8" customWidth="1" min="3" max="3"/>
    <col width="22" customWidth="1" min="4" max="4"/>
    <col width="16" customWidth="1" min="5" max="5"/>
    <col width="10" customWidth="1" min="6" max="6"/>
  </cols>
  <sheetData>
    <row r="1">
      <c r="A1" s="58" t="inlineStr">
        <is>
          <t>▤  PORTFOLIO OVERVIEW  //  Bybit + Deribit + Coinbase</t>
        </is>
      </c>
    </row>
    <row r="3">
      <c r="A3" s="3" t="inlineStr">
        <is>
          <t>РАСПРЕДЕЛЕНИЕ КАПИТАЛА</t>
        </is>
      </c>
      <c r="B3" s="4" t="n"/>
      <c r="C3" s="5" t="n"/>
      <c r="D3" s="6" t="inlineStr">
        <is>
          <t>ДОХОДНОСТЬ</t>
        </is>
      </c>
      <c r="E3" s="4" t="n"/>
      <c r="F3" s="5" t="n"/>
    </row>
    <row r="4">
      <c r="A4" s="8" t="inlineStr">
        <is>
          <t>Bybit Споты + депозиты</t>
        </is>
      </c>
      <c r="B4" s="9" t="n">
        <v>15000</v>
      </c>
      <c r="C4" s="10" t="inlineStr">
        <is>
          <t>$</t>
        </is>
      </c>
      <c r="D4" s="11" t="inlineStr">
        <is>
          <t>Доход сеток/год</t>
        </is>
      </c>
      <c r="E4" s="13">
        <f>B5*B14/100</f>
        <v/>
      </c>
    </row>
    <row r="5">
      <c r="A5" s="8" t="inlineStr">
        <is>
          <t>Bybit Маржа ботов</t>
        </is>
      </c>
      <c r="B5" s="9" t="n">
        <v>25000</v>
      </c>
      <c r="C5" s="10" t="inlineStr">
        <is>
          <t>$</t>
        </is>
      </c>
      <c r="D5" s="11" t="inlineStr">
        <is>
          <t>Доход опций/год</t>
        </is>
      </c>
      <c r="E5" s="15">
        <f>B6*B15/100</f>
        <v/>
      </c>
    </row>
    <row r="6">
      <c r="A6" s="8" t="inlineStr">
        <is>
          <t>Bybit Опц. обёртка</t>
        </is>
      </c>
      <c r="B6" s="9" t="n">
        <v>5000</v>
      </c>
      <c r="C6" s="10" t="inlineStr">
        <is>
          <t>$</t>
        </is>
      </c>
      <c r="D6" s="11" t="inlineStr">
        <is>
          <t>Доход депозита/год</t>
        </is>
      </c>
      <c r="E6" s="17">
        <f>B4*B17/100</f>
        <v/>
      </c>
    </row>
    <row r="7">
      <c r="A7" s="8" t="inlineStr">
        <is>
          <t>Deribit кал. спреды</t>
        </is>
      </c>
      <c r="B7" s="9" t="n">
        <v>8000</v>
      </c>
      <c r="C7" s="10" t="inlineStr">
        <is>
          <t>$</t>
        </is>
      </c>
      <c r="D7" s="11" t="inlineStr">
        <is>
          <t>Basis арб/год</t>
        </is>
      </c>
      <c r="E7" s="19">
        <f>B8*B16/100</f>
        <v/>
      </c>
    </row>
    <row r="8">
      <c r="A8" s="8" t="inlineStr">
        <is>
          <t>Coinbase базис арб</t>
        </is>
      </c>
      <c r="B8" s="9" t="n">
        <v>5000</v>
      </c>
      <c r="C8" s="10" t="inlineStr">
        <is>
          <t>$</t>
        </is>
      </c>
      <c r="D8" s="11" t="inlineStr">
        <is>
          <t>Кал.спред/год</t>
        </is>
      </c>
      <c r="E8" s="13">
        <f>B7*B18/100</f>
        <v/>
      </c>
    </row>
    <row r="9">
      <c r="A9" s="8" t="inlineStr">
        <is>
          <t>Резерв (стейблы)</t>
        </is>
      </c>
      <c r="B9" s="9" t="n">
        <v>4000</v>
      </c>
      <c r="C9" s="10" t="inlineStr">
        <is>
          <t>$</t>
        </is>
      </c>
      <c r="D9" s="11" t="inlineStr">
        <is>
          <t>Резерв (5%)/год</t>
        </is>
      </c>
      <c r="E9" s="17">
        <f>B9*0.05</f>
        <v/>
      </c>
    </row>
    <row r="10">
      <c r="D10" s="11" t="inlineStr">
        <is>
          <t>ИТОГО/год</t>
        </is>
      </c>
      <c r="E10" s="59">
        <f>SUM(E4:E9)</f>
        <v/>
      </c>
    </row>
    <row r="11">
      <c r="A11" s="60" t="inlineStr">
        <is>
          <t>ИТОГО ПОРТФЕЛЬ</t>
        </is>
      </c>
      <c r="B11" s="61">
        <f>SUM(B4:B9)</f>
        <v/>
      </c>
      <c r="D11" s="11" t="inlineStr">
        <is>
          <t>Взвешенный APR (%)</t>
        </is>
      </c>
      <c r="E11" s="25">
        <f>E10/B11*100</f>
        <v/>
      </c>
    </row>
    <row r="12">
      <c r="D12" s="11" t="inlineStr">
        <is>
          <t>$/день</t>
        </is>
      </c>
      <c r="E12" s="24">
        <f>E10/365</f>
        <v/>
      </c>
    </row>
    <row r="13">
      <c r="A13" s="21" t="inlineStr">
        <is>
          <t>ЦЕЛЕВЫЕ APR</t>
        </is>
      </c>
      <c r="B13" s="4" t="n"/>
      <c r="C13" s="5" t="n"/>
      <c r="D13" s="11" t="inlineStr">
        <is>
          <t>$/месяц</t>
        </is>
      </c>
      <c r="E13" s="24">
        <f>E10/12</f>
        <v/>
      </c>
    </row>
    <row r="14">
      <c r="A14" s="8" t="inlineStr">
        <is>
          <t>Сетки APR (%)</t>
        </is>
      </c>
      <c r="B14" s="9" t="n">
        <v>28</v>
      </c>
      <c r="C14" s="10" t="inlineStr">
        <is>
          <t>%</t>
        </is>
      </c>
      <c r="D14" s="11" t="inlineStr">
        <is>
          <t>Sharpe (оценка)</t>
        </is>
      </c>
      <c r="E14" s="15">
        <f>E11/15</f>
        <v/>
      </c>
    </row>
    <row r="15">
      <c r="A15" s="8" t="inlineStr">
        <is>
          <t>Опц. обёртка APR (%)</t>
        </is>
      </c>
      <c r="B15" s="9" t="n">
        <v>18</v>
      </c>
      <c r="C15" s="10" t="inlineStr">
        <is>
          <t>%</t>
        </is>
      </c>
      <c r="D15" s="11" t="inlineStr">
        <is>
          <t>Max DD (оценка %)</t>
        </is>
      </c>
      <c r="E15" s="52" t="inlineStr">
        <is>
          <t>15</t>
        </is>
      </c>
    </row>
    <row r="16">
      <c r="A16" s="8" t="inlineStr">
        <is>
          <t>Basis арб APR (%)</t>
        </is>
      </c>
      <c r="B16" s="9" t="n">
        <v>12</v>
      </c>
      <c r="C16" s="10" t="inlineStr">
        <is>
          <t>%</t>
        </is>
      </c>
      <c r="D16" s="11" t="inlineStr">
        <is>
          <t>% в Bybit</t>
        </is>
      </c>
      <c r="E16" s="17">
        <f>(B4+B5+B6)/B11*100</f>
        <v/>
      </c>
    </row>
    <row r="17">
      <c r="A17" s="8" t="inlineStr">
        <is>
          <t>Депозит APR (%)</t>
        </is>
      </c>
      <c r="B17" s="9" t="n">
        <v>8</v>
      </c>
      <c r="C17" s="10" t="inlineStr">
        <is>
          <t>%</t>
        </is>
      </c>
      <c r="D17" s="11" t="inlineStr">
        <is>
          <t>% резерв</t>
        </is>
      </c>
      <c r="E17" s="17">
        <f>B9/B11*100</f>
        <v/>
      </c>
    </row>
    <row r="18">
      <c r="A18" s="8" t="inlineStr">
        <is>
          <t>Кал. спред APR (%)</t>
        </is>
      </c>
      <c r="B18" s="9" t="n">
        <v>22</v>
      </c>
      <c r="C18" s="10" t="inlineStr">
        <is>
          <t>%</t>
        </is>
      </c>
    </row>
    <row r="21">
      <c r="A21" s="62" t="inlineStr">
        <is>
          <t>АКТИВ</t>
        </is>
      </c>
      <c r="B21" s="62" t="inlineStr">
        <is>
          <t>Вес%</t>
        </is>
      </c>
      <c r="C21" s="62" t="inlineStr">
        <is>
          <t>Цел.APR%</t>
        </is>
      </c>
      <c r="D21" s="62" t="inlineStr">
        <is>
          <t>$Инвест</t>
        </is>
      </c>
      <c r="E21" s="62" t="inlineStr">
        <is>
          <t>$/год</t>
        </is>
      </c>
    </row>
    <row r="22">
      <c r="A22" s="63" t="inlineStr">
        <is>
          <t>XAUTUSDT</t>
        </is>
      </c>
      <c r="B22" s="64" t="n">
        <v>0.25</v>
      </c>
      <c r="C22" s="64" t="n">
        <v>0.22</v>
      </c>
      <c r="D22" s="65">
        <f>B11*B22</f>
        <v/>
      </c>
      <c r="E22" s="66">
        <f>E22*C22</f>
        <v/>
      </c>
    </row>
    <row r="23">
      <c r="A23" s="63" t="inlineStr">
        <is>
          <t>ETHUSDT</t>
        </is>
      </c>
      <c r="B23" s="64" t="n">
        <v>0.25</v>
      </c>
      <c r="C23" s="64" t="n">
        <v>0.3</v>
      </c>
      <c r="D23" s="65">
        <f>B11*B23</f>
        <v/>
      </c>
      <c r="E23" s="66">
        <f>E23*C23</f>
        <v/>
      </c>
    </row>
    <row r="24">
      <c r="A24" s="63" t="inlineStr">
        <is>
          <t>MNTUSDT</t>
        </is>
      </c>
      <c r="B24" s="64" t="n">
        <v>0.15</v>
      </c>
      <c r="C24" s="64" t="n">
        <v>0.35</v>
      </c>
      <c r="D24" s="65">
        <f>B11*B24</f>
        <v/>
      </c>
      <c r="E24" s="66">
        <f>E24*C24</f>
        <v/>
      </c>
    </row>
    <row r="25">
      <c r="A25" s="63" t="inlineStr">
        <is>
          <t>XRPUSDT</t>
        </is>
      </c>
      <c r="B25" s="64" t="n">
        <v>0.15</v>
      </c>
      <c r="C25" s="64" t="n">
        <v>0.28</v>
      </c>
      <c r="D25" s="65">
        <f>B11*B25</f>
        <v/>
      </c>
      <c r="E25" s="66">
        <f>E25*C25</f>
        <v/>
      </c>
    </row>
    <row r="26">
      <c r="A26" s="63" t="inlineStr">
        <is>
          <t>SOLUSDT</t>
        </is>
      </c>
      <c r="B26" s="64" t="n">
        <v>0.2</v>
      </c>
      <c r="C26" s="64" t="n">
        <v>0.32</v>
      </c>
      <c r="D26" s="65">
        <f>B11*B26</f>
        <v/>
      </c>
      <c r="E26" s="66">
        <f>E26*C26</f>
        <v/>
      </c>
    </row>
  </sheetData>
  <mergeCells count="4">
    <mergeCell ref="A3:C3"/>
    <mergeCell ref="A13:C13"/>
    <mergeCell ref="A1:F1"/>
    <mergeCell ref="D3:F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6878A0"/>
    <outlinePr summaryBelow="1" summaryRight="1"/>
    <pageSetUpPr/>
  </sheetPr>
  <dimension ref="A1:C5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60" customWidth="1" min="2" max="2"/>
    <col width="20" customWidth="1" min="3" max="3"/>
  </cols>
  <sheetData>
    <row r="1">
      <c r="A1" s="58" t="inlineStr">
        <is>
          <t>СПРАВОЧНИК ФОРМУЛ  //  TRADING SYSTEM</t>
        </is>
      </c>
    </row>
    <row r="2">
      <c r="A2" s="67" t="inlineStr">
        <is>
          <t>── GRID BOT ──</t>
        </is>
      </c>
      <c r="B2" s="68" t="n"/>
      <c r="C2" s="68" t="n"/>
    </row>
    <row r="3">
      <c r="A3" s="69" t="inlineStr">
        <is>
          <t>Шаг (Arithmetic)</t>
        </is>
      </c>
      <c r="B3" s="70">
        <f>(Upper - Lower) / N</f>
        <v/>
      </c>
      <c r="C3" s="71" t="inlineStr"/>
    </row>
    <row r="4">
      <c r="A4" s="69" t="inlineStr">
        <is>
          <t>Прибыль/ячейку</t>
        </is>
      </c>
      <c r="B4" s="70">
        <f>Шаг × (Capital/N/Price) - 2×Fee×(Capital/N)</f>
        <v/>
      </c>
      <c r="C4" s="71" t="inlineStr">
        <is>
          <t>$</t>
        </is>
      </c>
    </row>
    <row r="5">
      <c r="A5" s="69" t="inlineStr">
        <is>
          <t>APR сетки</t>
        </is>
      </c>
      <c r="B5" s="70">
        <f> (Прибыль/ячейку × Срабатываний/день × N × 0.3 × 365) / Инвестиции</f>
        <v/>
      </c>
      <c r="C5" s="71" t="inlineStr">
        <is>
          <t>% годовых</t>
        </is>
      </c>
    </row>
    <row r="6">
      <c r="A6" s="69" t="inlineStr">
        <is>
          <t>Срабатываний/день</t>
        </is>
      </c>
      <c r="B6" s="70">
        <f> ATR × 0.6 / Шаг</f>
        <v/>
      </c>
      <c r="C6" s="71" t="inlineStr">
        <is>
          <t>раз</t>
        </is>
      </c>
    </row>
    <row r="7">
      <c r="A7" s="69" t="inlineStr">
        <is>
          <t>Цена ликвидации (LONG)</t>
        </is>
      </c>
      <c r="B7" s="70">
        <f> Entry × (1 - 1/Leverage + 0.005)</f>
        <v/>
      </c>
      <c r="C7" s="71" t="inlineStr">
        <is>
          <t>$</t>
        </is>
      </c>
    </row>
    <row r="8">
      <c r="A8" s="69" t="inlineStr">
        <is>
          <t>Минимальный шаг</t>
        </is>
      </c>
      <c r="B8" s="70">
        <f> 2 × TakerFee × Price</f>
        <v/>
      </c>
      <c r="C8" s="71" t="inlineStr">
        <is>
          <t>$ (безубыток)</t>
        </is>
      </c>
    </row>
    <row r="9">
      <c r="A9" s="69" t="inlineStr">
        <is>
          <t>Шаг Geometric</t>
        </is>
      </c>
      <c r="B9" s="70">
        <f> Lower × ((Upper/Lower)^(1/N) - 1)</f>
        <v/>
      </c>
      <c r="C9" s="71" t="inlineStr">
        <is>
          <t>$</t>
        </is>
      </c>
    </row>
    <row r="10">
      <c r="A10" s="69" t="inlineStr"/>
      <c r="B10" s="72" t="inlineStr"/>
      <c r="C10" s="71" t="inlineStr"/>
    </row>
    <row r="11">
      <c r="A11" s="67" t="inlineStr">
        <is>
          <t>── BASIS ARB ──</t>
        </is>
      </c>
      <c r="B11" s="68" t="n"/>
      <c r="C11" s="68" t="n"/>
    </row>
    <row r="12">
      <c r="A12" s="69" t="inlineStr">
        <is>
          <t>Basis $</t>
        </is>
      </c>
      <c r="B12" s="70">
        <f> Futures_Price - Spot_Price</f>
        <v/>
      </c>
      <c r="C12" s="71" t="inlineStr">
        <is>
          <t>$</t>
        </is>
      </c>
    </row>
    <row r="13">
      <c r="A13" s="69" t="inlineStr">
        <is>
          <t>Basis %</t>
        </is>
      </c>
      <c r="B13" s="70">
        <f> Basis / Spot × 100</f>
        <v/>
      </c>
      <c r="C13" s="71" t="inlineStr">
        <is>
          <t>% на период</t>
        </is>
      </c>
    </row>
    <row r="14">
      <c r="A14" s="69" t="inlineStr">
        <is>
          <t>Annualized Basis</t>
        </is>
      </c>
      <c r="B14" s="70">
        <f> Basis% × (365 / DaysToExpiry)</f>
        <v/>
      </c>
      <c r="C14" s="71" t="inlineStr">
        <is>
          <t>% годовых</t>
        </is>
      </c>
    </row>
    <row r="15">
      <c r="A15" s="69" t="inlineStr">
        <is>
          <t>Gross P&amp;L</t>
        </is>
      </c>
      <c r="B15" s="70">
        <f> Basis × Lots</f>
        <v/>
      </c>
      <c r="C15" s="71" t="inlineStr">
        <is>
          <t>$</t>
        </is>
      </c>
    </row>
    <row r="16">
      <c r="A16" s="69" t="inlineStr">
        <is>
          <t>Fees</t>
        </is>
      </c>
      <c r="B16" s="70">
        <f> (Spot×SpotFee + Fut×FutFee) × Lots × 2</f>
        <v/>
      </c>
      <c r="C16" s="71" t="inlineStr">
        <is>
          <t>$</t>
        </is>
      </c>
    </row>
    <row r="17">
      <c r="A17" s="69" t="inlineStr">
        <is>
          <t>Net P&amp;L</t>
        </is>
      </c>
      <c r="B17" s="70">
        <f> Gross - Fees</f>
        <v/>
      </c>
      <c r="C17" s="71" t="inlineStr">
        <is>
          <t>$</t>
        </is>
      </c>
    </row>
    <row r="18">
      <c r="A18" s="69" t="inlineStr">
        <is>
          <t>ROI годовых</t>
        </is>
      </c>
      <c r="B18" s="70">
        <f> (Net/Capital) × (365/Days) × 100</f>
        <v/>
      </c>
      <c r="C18" s="71" t="inlineStr">
        <is>
          <t>% годовых</t>
        </is>
      </c>
    </row>
    <row r="19">
      <c r="A19" s="69" t="inlineStr"/>
      <c r="B19" s="72" t="inlineStr"/>
      <c r="C19" s="71" t="inlineStr"/>
    </row>
    <row r="20">
      <c r="A20" s="67" t="inlineStr">
        <is>
          <t>── OPTIONS WRAPPER ──</t>
        </is>
      </c>
      <c r="B20" s="68" t="n"/>
      <c r="C20" s="68" t="n"/>
    </row>
    <row r="21">
      <c r="A21" s="69" t="inlineStr">
        <is>
          <t>Net Premium</t>
        </is>
      </c>
      <c r="B21" s="70">
        <f> (SoldCall + SoldPut - BoughtPut) × Lots</f>
        <v/>
      </c>
      <c r="C21" s="71" t="inlineStr">
        <is>
          <t>$</t>
        </is>
      </c>
    </row>
    <row r="22">
      <c r="A22" s="69" t="inlineStr">
        <is>
          <t>Net Theta/день</t>
        </is>
      </c>
      <c r="B22" s="70">
        <f> (ThetaCall + ThetaSoldPut - ThetaBoughtPut) × Lots</f>
        <v/>
      </c>
      <c r="C22" s="71" t="inlineStr">
        <is>
          <t>$/день</t>
        </is>
      </c>
    </row>
    <row r="23">
      <c r="A23" s="69" t="inlineStr">
        <is>
          <t>APR обёртки</t>
        </is>
      </c>
      <c r="B23" s="70">
        <f> (Net_Premium × 365/Days) / Bot_Investment × 100</f>
        <v/>
      </c>
      <c r="C23" s="71" t="inlineStr">
        <is>
          <t>% годовых</t>
        </is>
      </c>
    </row>
    <row r="24">
      <c r="A24" s="69" t="inlineStr">
        <is>
          <t>Макс убыток PUT спред</t>
        </is>
      </c>
      <c r="B24" s="70">
        <f> (BoughtPutStrike - SoldPutStrike) × Lots - NetPremium</f>
        <v/>
      </c>
      <c r="C24" s="71" t="inlineStr">
        <is>
          <t>$</t>
        </is>
      </c>
    </row>
    <row r="25">
      <c r="A25" s="69" t="inlineStr">
        <is>
          <t>Break-even вниз</t>
        </is>
      </c>
      <c r="B25" s="70">
        <f> SoldPutStrike - NetPremium / Lots</f>
        <v/>
      </c>
      <c r="C25" s="71" t="inlineStr">
        <is>
          <t>$ цена</t>
        </is>
      </c>
    </row>
    <row r="26">
      <c r="A26" s="69" t="inlineStr">
        <is>
          <t>Break-even вверх</t>
        </is>
      </c>
      <c r="B26" s="70">
        <f> SoldCallStrike + NetPremium / Lots</f>
        <v/>
      </c>
      <c r="C26" s="71" t="inlineStr">
        <is>
          <t>$ цена</t>
        </is>
      </c>
    </row>
    <row r="27">
      <c r="A27" s="69" t="inlineStr"/>
      <c r="B27" s="72" t="inlineStr"/>
      <c r="C27" s="71" t="inlineStr"/>
    </row>
    <row r="28">
      <c r="A28" s="67" t="inlineStr">
        <is>
          <t>── IV ARB ──</t>
        </is>
      </c>
      <c r="B28" s="68" t="n"/>
      <c r="C28" s="68" t="n"/>
    </row>
    <row r="29">
      <c r="A29" s="69" t="inlineStr">
        <is>
          <t>IV Спред</t>
        </is>
      </c>
      <c r="B29" s="70">
        <f> IV_Sell - IV_Buy</f>
        <v/>
      </c>
      <c r="C29" s="71" t="inlineStr">
        <is>
          <t>% разница</t>
        </is>
      </c>
    </row>
    <row r="30">
      <c r="A30" s="69" t="inlineStr">
        <is>
          <t>Vega P&amp;L</t>
        </is>
      </c>
      <c r="B30" s="70">
        <f> IV_Spread × Vega × Lots</f>
        <v/>
      </c>
      <c r="C30" s="71" t="inlineStr">
        <is>
          <t>$</t>
        </is>
      </c>
    </row>
    <row r="31">
      <c r="A31" s="69" t="inlineStr">
        <is>
          <t>Fees IV арб</t>
        </is>
      </c>
      <c r="B31" s="70">
        <f> (FeeSell + FeeBuy) × SpotPrice × Lots × 2</f>
        <v/>
      </c>
      <c r="C31" s="71" t="inlineStr">
        <is>
          <t>$</t>
        </is>
      </c>
    </row>
    <row r="32">
      <c r="A32" s="69" t="inlineStr">
        <is>
          <t>Net P&amp;L</t>
        </is>
      </c>
      <c r="B32" s="70">
        <f> VegaPnl - Fees</f>
        <v/>
      </c>
      <c r="C32" s="71" t="inlineStr">
        <is>
          <t>$</t>
        </is>
      </c>
    </row>
    <row r="33">
      <c r="A33" s="69" t="inlineStr">
        <is>
          <t>Break-even спред</t>
        </is>
      </c>
      <c r="B33" s="70">
        <f> Fees / (Vega × Lots)</f>
        <v/>
      </c>
      <c r="C33" s="71" t="inlineStr">
        <is>
          <t>% минимум</t>
        </is>
      </c>
    </row>
    <row r="34">
      <c r="A34" s="69" t="inlineStr"/>
      <c r="B34" s="72" t="inlineStr"/>
      <c r="C34" s="71" t="inlineStr"/>
    </row>
    <row r="35">
      <c r="A35" s="67" t="inlineStr">
        <is>
          <t>── CALENDAR SPREAD ──</t>
        </is>
      </c>
      <c r="B35" s="68" t="n"/>
      <c r="C35" s="68" t="n"/>
    </row>
    <row r="36">
      <c r="A36" s="69" t="inlineStr">
        <is>
          <t>Net Дебет</t>
        </is>
      </c>
      <c r="B36" s="70">
        <f> (FarPremium - NearPremium) × Lots</f>
        <v/>
      </c>
      <c r="C36" s="71" t="inlineStr">
        <is>
          <t>$ (платим)</t>
        </is>
      </c>
    </row>
    <row r="37">
      <c r="A37" s="69" t="inlineStr">
        <is>
          <t>Net Theta/день</t>
        </is>
      </c>
      <c r="B37" s="70">
        <f> (ThetaNear - ThetaFar) × Lots</f>
        <v/>
      </c>
      <c r="C37" s="71" t="inlineStr">
        <is>
          <t>$/день</t>
        </is>
      </c>
    </row>
    <row r="38">
      <c r="A38" s="69" t="inlineStr">
        <is>
          <t>Net Vega</t>
        </is>
      </c>
      <c r="B38" s="70">
        <f> (VegaFar - VegaNear) × Lots</f>
        <v/>
      </c>
      <c r="C38" s="71" t="inlineStr">
        <is>
          <t>$/%</t>
        </is>
      </c>
    </row>
    <row r="39">
      <c r="A39" s="69" t="inlineStr">
        <is>
          <t>Break-even движение</t>
        </is>
      </c>
      <c r="B39" s="70">
        <f> √(2 × |NetTheta| / |NetGamma|) / Spot × 100</f>
        <v/>
      </c>
      <c r="C39" s="71" t="inlineStr">
        <is>
          <t>% движение</t>
        </is>
      </c>
    </row>
    <row r="40">
      <c r="A40" s="69" t="inlineStr">
        <is>
          <t>P&amp;L Theta компонент</t>
        </is>
      </c>
      <c r="B40" s="70">
        <f> NetTheta × DaysToNearExpiry</f>
        <v/>
      </c>
      <c r="C40" s="71" t="inlineStr">
        <is>
          <t>$</t>
        </is>
      </c>
    </row>
    <row r="41">
      <c r="A41" s="69" t="inlineStr">
        <is>
          <t>P&amp;L Vega компонент</t>
        </is>
      </c>
      <c r="B41" s="70">
        <f> NetVega × ΔIV</f>
        <v/>
      </c>
      <c r="C41" s="71" t="inlineStr">
        <is>
          <t>$</t>
        </is>
      </c>
    </row>
    <row r="42">
      <c r="A42" s="69" t="inlineStr"/>
      <c r="B42" s="72" t="inlineStr"/>
      <c r="C42" s="71" t="inlineStr"/>
    </row>
    <row r="43">
      <c r="A43" s="67" t="inlineStr">
        <is>
          <t>── PORTFOLIO ──</t>
        </is>
      </c>
      <c r="B43" s="68" t="n"/>
      <c r="C43" s="68" t="n"/>
    </row>
    <row r="44">
      <c r="A44" s="69" t="inlineStr">
        <is>
          <t>Weighted APR</t>
        </is>
      </c>
      <c r="B44" s="70">
        <f> Σ(APR_i × Weight_i)</f>
        <v/>
      </c>
      <c r="C44" s="71" t="inlineStr">
        <is>
          <t>% средневзвешенный</t>
        </is>
      </c>
    </row>
    <row r="45">
      <c r="A45" s="69" t="inlineStr">
        <is>
          <t>Sharpe (оценка)</t>
        </is>
      </c>
      <c r="B45" s="70">
        <f> (APR - 5%) / 15%</f>
        <v/>
      </c>
      <c r="C45" s="71" t="inlineStr">
        <is>
          <t>ratio</t>
        </is>
      </c>
    </row>
    <row r="46">
      <c r="A46" s="69" t="inlineStr">
        <is>
          <t>Daily P&amp;L</t>
        </is>
      </c>
      <c r="B46" s="70">
        <f> TotalCapital × WeightedAPR / 365</f>
        <v/>
      </c>
      <c r="C46" s="71" t="inlineStr">
        <is>
          <t>$/день</t>
        </is>
      </c>
    </row>
    <row r="47">
      <c r="A47" s="69" t="inlineStr">
        <is>
          <t>Ребаланс триггер</t>
        </is>
      </c>
      <c r="B47" s="70">
        <f> |CurrentWeight - TargetWeight| &gt; 5%</f>
        <v/>
      </c>
      <c r="C47" s="71" t="inlineStr">
        <is>
          <t>условие</t>
        </is>
      </c>
    </row>
    <row r="48">
      <c r="A48" s="69" t="inlineStr">
        <is>
          <t>Rebalance bonus (теор.)</t>
        </is>
      </c>
      <c r="B48" s="70">
        <f> σ² × (1 - ρ̄) / 2</f>
        <v/>
      </c>
      <c r="C48" s="71" t="inlineStr">
        <is>
          <t>% годовых добавка</t>
        </is>
      </c>
    </row>
    <row r="49">
      <c r="A49" s="69" t="inlineStr"/>
      <c r="B49" s="72" t="inlineStr"/>
      <c r="C49" s="71" t="inlineStr"/>
    </row>
    <row r="50">
      <c r="A50" s="67" t="inlineStr">
        <is>
          <t>── КОНСТАНТЫ ──</t>
        </is>
      </c>
      <c r="B50" s="68" t="n"/>
      <c r="C50" s="68" t="n"/>
    </row>
    <row r="51">
      <c r="A51" s="69" t="inlineStr">
        <is>
          <t>Bybit Taker fee</t>
        </is>
      </c>
      <c r="B51" s="72" t="inlineStr">
        <is>
          <t>0.00055</t>
        </is>
      </c>
      <c r="C51" s="71" t="inlineStr">
        <is>
          <t>0.055%</t>
        </is>
      </c>
    </row>
    <row r="52">
      <c r="A52" s="69" t="inlineStr">
        <is>
          <t>Bybit Maker fee</t>
        </is>
      </c>
      <c r="B52" s="72" t="inlineStr">
        <is>
          <t>0.00002</t>
        </is>
      </c>
      <c r="C52" s="71" t="inlineStr">
        <is>
          <t>0.002%</t>
        </is>
      </c>
    </row>
    <row r="53">
      <c r="A53" s="69" t="inlineStr">
        <is>
          <t>Deribit Taker fee</t>
        </is>
      </c>
      <c r="B53" s="72" t="inlineStr">
        <is>
          <t>0.0003</t>
        </is>
      </c>
      <c r="C53" s="71" t="inlineStr">
        <is>
          <t>0.03%</t>
        </is>
      </c>
    </row>
    <row r="54">
      <c r="A54" s="69" t="inlineStr">
        <is>
          <t>Coinbase Taker fee</t>
        </is>
      </c>
      <c r="B54" s="72" t="inlineStr">
        <is>
          <t>0.006</t>
        </is>
      </c>
      <c r="C54" s="71" t="inlineStr">
        <is>
          <t>0.6%</t>
        </is>
      </c>
    </row>
    <row r="55">
      <c r="A55" s="69" t="inlineStr">
        <is>
          <t>Мин буфер ликвидации</t>
        </is>
      </c>
      <c r="B55" s="70" t="inlineStr">
        <is>
          <t>1.3 × Liq_Price</t>
        </is>
      </c>
      <c r="C55" s="71" t="inlineStr">
        <is>
          <t>30% запас</t>
        </is>
      </c>
    </row>
    <row r="56">
      <c r="A56" s="69" t="inlineStr">
        <is>
          <t>Макс плечо</t>
        </is>
      </c>
      <c r="B56" s="70" t="inlineStr">
        <is>
          <t>2×</t>
        </is>
      </c>
      <c r="C56" s="71" t="inlineStr">
        <is>
          <t>лимит системы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2026-05-25T15:32:40Z</dcterms:created>
  <dcterms:modified xmlns:dcterms="http://purl.org/dc/terms/" xmlns:xsi="http://www.w3.org/2001/XMLSchema-instance" xsi:type="dcterms:W3CDTF">2026-05-25T15:32:40Z</dcterms:modified>
</cp:coreProperties>
</file>