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STRUCTS" sheetId="2" state="visible" r:id="rId2"/>
    <sheet name="LEGS" sheetId="3" state="visible" r:id="rId3"/>
    <sheet name="GRID_FILLS" sheetId="4" state="visible" r:id="rId4"/>
    <sheet name="OPT_EVENTS" sheetId="5" state="visible" r:id="rId5"/>
    <sheet name="DAILY" sheetId="6" state="visible" r:id="rId6"/>
    <sheet name="PARAMS" sheetId="7" state="visible" r:id="rId7"/>
    <sheet name="FORMULAS_RE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H:MM"/>
  </numFmts>
  <fonts count="13">
    <font>
      <name val="Calibri"/>
      <family val="2"/>
      <color theme="1"/>
      <sz val="11"/>
      <scheme val="minor"/>
    </font>
    <font>
      <name val="Consolas"/>
      <b val="1"/>
      <color rgb="00F0B429"/>
      <sz val="14"/>
    </font>
    <font>
      <name val="Consolas"/>
      <b val="1"/>
      <color rgb="00F0B429"/>
      <sz val="11"/>
    </font>
    <font>
      <name val="Consolas"/>
      <b val="1"/>
      <color rgb="007EB8F7"/>
      <sz val="10"/>
    </font>
    <font>
      <name val="Consolas"/>
      <color rgb="00E0E0F0"/>
      <sz val="10"/>
    </font>
    <font>
      <name val="Consolas"/>
      <b val="1"/>
      <color rgb="00F0B429"/>
      <sz val="10"/>
    </font>
    <font>
      <name val="Consolas"/>
      <color rgb="00F0B429"/>
      <sz val="10"/>
    </font>
    <font>
      <name val="Consolas"/>
      <color rgb="003A3A4E"/>
      <sz val="10"/>
    </font>
    <font>
      <name val="Consolas"/>
      <b val="1"/>
      <color rgb="007EB8F7"/>
      <sz val="11"/>
    </font>
    <font>
      <name val="Consolas"/>
      <color rgb="00888899"/>
      <sz val="10"/>
    </font>
    <font>
      <name val="Consolas"/>
      <b val="1"/>
      <color rgb="003DDC97"/>
      <sz val="11"/>
    </font>
    <font>
      <name val="Consolas"/>
      <b val="1"/>
      <color rgb="00A855F7"/>
      <sz val="11"/>
    </font>
    <font>
      <name val="Consolas"/>
      <color rgb="007EB8F7"/>
      <sz val="10"/>
    </font>
  </fonts>
  <fills count="6">
    <fill>
      <patternFill/>
    </fill>
    <fill>
      <patternFill patternType="gray125"/>
    </fill>
    <fill>
      <patternFill patternType="solid">
        <fgColor rgb="002A2A3E"/>
      </patternFill>
    </fill>
    <fill>
      <patternFill patternType="solid">
        <fgColor rgb="003A3A4E"/>
      </patternFill>
    </fill>
    <fill>
      <patternFill patternType="solid">
        <fgColor rgb="001E1E2E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left" vertical="center"/>
    </xf>
    <xf numFmtId="166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429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" customWidth="1" min="3" max="3"/>
    <col width="24" customWidth="1" min="4" max="4"/>
    <col width="16" customWidth="1" min="5" max="5"/>
  </cols>
  <sheetData>
    <row r="1" ht="28" customHeight="1">
      <c r="A1" s="1" t="inlineStr">
        <is>
          <t>⚡ TRADING BOOK — DASHBOARD</t>
        </is>
      </c>
    </row>
    <row r="3">
      <c r="A3" s="2" t="inlineStr">
        <is>
          <t>Портфель</t>
        </is>
      </c>
    </row>
    <row r="4">
      <c r="A4" s="3" t="inlineStr">
        <is>
          <t>Эквити (USDT)</t>
        </is>
      </c>
      <c r="B4" s="4">
        <f>IFERROR(DAILY!B2,"")</f>
        <v/>
      </c>
    </row>
    <row r="5">
      <c r="A5" s="3" t="inlineStr">
        <is>
          <t>IM использовано</t>
        </is>
      </c>
      <c r="B5" s="4">
        <f>IFERROR(DAILY!C2,"")</f>
        <v/>
      </c>
    </row>
    <row r="6">
      <c r="A6" s="3" t="inlineStr">
        <is>
          <t>MM</t>
        </is>
      </c>
      <c r="B6" s="4">
        <f>IFERROR(DAILY!D2,"")</f>
        <v/>
      </c>
    </row>
    <row r="7">
      <c r="A7" s="3" t="inlineStr">
        <is>
          <t>P&amp;L сегодня</t>
        </is>
      </c>
      <c r="B7" s="4">
        <f>IFERROR(DAILY!E2,"")</f>
        <v/>
      </c>
    </row>
    <row r="9">
      <c r="A9" s="2" t="inlineStr">
        <is>
          <t>P&amp;L по конструктам (день)</t>
        </is>
      </c>
    </row>
    <row r="10">
      <c r="A10" s="3" t="inlineStr">
        <is>
          <t>C1 Locked Spread</t>
        </is>
      </c>
      <c r="B10" s="4">
        <f>IFERROR(DAILY!F2,"")</f>
        <v/>
      </c>
    </row>
    <row r="11">
      <c r="A11" s="3" t="inlineStr">
        <is>
          <t>C2 Stat-Arb Pair</t>
        </is>
      </c>
      <c r="B11" s="4">
        <f>IFERROR(DAILY!G2,"")</f>
        <v/>
      </c>
    </row>
    <row r="12">
      <c r="A12" s="3" t="inlineStr">
        <is>
          <t>C3 Synth Ratio</t>
        </is>
      </c>
      <c r="B12" s="4">
        <f>IFERROR(DAILY!H2,"")</f>
        <v/>
      </c>
    </row>
    <row r="13">
      <c r="A13" s="3" t="inlineStr">
        <is>
          <t>C4 Opt Calendar</t>
        </is>
      </c>
      <c r="B13" s="4">
        <f>IFERROR(DAILY!I2,"")</f>
        <v/>
      </c>
    </row>
    <row r="15">
      <c r="A15" s="2" t="inlineStr">
        <is>
          <t>Риск-индикаторы</t>
        </is>
      </c>
    </row>
    <row r="16">
      <c r="A16" s="3" t="inlineStr">
        <is>
          <t>Z-score C2 (XAU)</t>
        </is>
      </c>
      <c r="B16" s="5">
        <f>IFERROR(DAILY!L2,"")</f>
        <v/>
      </c>
    </row>
    <row r="17">
      <c r="A17" s="3" t="inlineStr">
        <is>
          <t>Ratio Z-score C3</t>
        </is>
      </c>
      <c r="B17" s="5">
        <f>IFERROR(DAILY!N2,"")</f>
        <v/>
      </c>
    </row>
    <row r="18">
      <c r="A18" s="3" t="inlineStr">
        <is>
          <t>Basis C1 (спот-перп)</t>
        </is>
      </c>
      <c r="B18" s="5">
        <f>IFERROR(DAILY!K2,"")</f>
        <v/>
      </c>
    </row>
    <row r="19">
      <c r="A19" s="3" t="inlineStr">
        <is>
          <t>Margin ratio</t>
        </is>
      </c>
      <c r="B19" s="5">
        <f>IFERROR(DAILY!C2/DAILY!B2,"")</f>
        <v/>
      </c>
    </row>
  </sheetData>
  <mergeCells count="4">
    <mergeCell ref="A3:F3"/>
    <mergeCell ref="A15:F15"/>
    <mergeCell ref="A9:F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EB8F7"/>
    <outlinePr summaryBelow="1" summaryRight="1"/>
    <pageSetUpPr/>
  </sheetPr>
  <dimension ref="A1:N5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6" t="inlineStr">
        <is>
          <t>id</t>
        </is>
      </c>
      <c r="B1" s="6" t="inlineStr">
        <is>
          <t>type</t>
        </is>
      </c>
      <c r="C1" s="6" t="inlineStr">
        <is>
          <t>name</t>
        </is>
      </c>
      <c r="D1" s="6" t="inlineStr">
        <is>
          <t>status</t>
        </is>
      </c>
      <c r="E1" s="6" t="inlineStr">
        <is>
          <t>open_date</t>
        </is>
      </c>
      <c r="F1" s="6" t="inlineStr">
        <is>
          <t>close_date</t>
        </is>
      </c>
      <c r="G1" s="6" t="inlineStr">
        <is>
          <t>notional_usd</t>
        </is>
      </c>
      <c r="H1" s="6" t="inlineStr">
        <is>
          <t>realized_pnl</t>
        </is>
      </c>
      <c r="I1" s="6" t="inlineStr">
        <is>
          <t>unrealized_pnl</t>
        </is>
      </c>
      <c r="J1" s="6" t="inlineStr">
        <is>
          <t>net_delta_usd</t>
        </is>
      </c>
      <c r="K1" s="6" t="inlineStr">
        <is>
          <t>net_gamma</t>
        </is>
      </c>
      <c r="L1" s="6" t="inlineStr">
        <is>
          <t>net_theta</t>
        </is>
      </c>
      <c r="M1" s="6" t="inlineStr">
        <is>
          <t>net_vega</t>
        </is>
      </c>
      <c r="N1" s="6" t="inlineStr">
        <is>
          <t>notes</t>
        </is>
      </c>
    </row>
    <row r="2">
      <c r="A2" s="7" t="inlineStr">
        <is>
          <t>C1</t>
        </is>
      </c>
      <c r="B2" s="8" t="inlineStr">
        <is>
          <t>LOCKED_SPREAD</t>
        </is>
      </c>
      <c r="C2" s="8" t="inlineStr">
        <is>
          <t>XAUTUSDT Spot/Perp</t>
        </is>
      </c>
      <c r="D2" s="8" t="inlineStr">
        <is>
          <t>active</t>
        </is>
      </c>
      <c r="E2" s="9" t="n">
        <v>46183</v>
      </c>
      <c r="F2" s="8" t="inlineStr"/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inlineStr">
        <is>
          <t>лонг спот + шорт перп XAUTUSDT</t>
        </is>
      </c>
    </row>
    <row r="3">
      <c r="A3" s="10" t="inlineStr">
        <is>
          <t>C2</t>
        </is>
      </c>
      <c r="B3" s="11" t="inlineStr">
        <is>
          <t>STATARB_PAIR</t>
        </is>
      </c>
      <c r="C3" s="11" t="inlineStr">
        <is>
          <t>XAUUSDT Rev + XAGUSDT Trend</t>
        </is>
      </c>
      <c r="D3" s="11" t="inlineStr">
        <is>
          <t>active</t>
        </is>
      </c>
      <c r="E3" s="12" t="n">
        <v>46183</v>
      </c>
      <c r="F3" s="11" t="inlineStr"/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inlineStr">
        <is>
          <t>реверсия XAU / тренд XAG h*≈0.41</t>
        </is>
      </c>
    </row>
    <row r="4">
      <c r="A4" s="7" t="inlineStr">
        <is>
          <t>C3</t>
        </is>
      </c>
      <c r="B4" s="8" t="inlineStr">
        <is>
          <t>SYNTH_RATIO</t>
        </is>
      </c>
      <c r="C4" s="8" t="inlineStr">
        <is>
          <t>XAUT/XAG Ratio + Options</t>
        </is>
      </c>
      <c r="D4" s="8" t="inlineStr">
        <is>
          <t>active</t>
        </is>
      </c>
      <c r="E4" s="9" t="n">
        <v>46183</v>
      </c>
      <c r="F4" s="8" t="inlineStr"/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inlineStr">
        <is>
          <t>ratio convergence + optn wrapper</t>
        </is>
      </c>
    </row>
    <row r="5">
      <c r="A5" s="10" t="inlineStr">
        <is>
          <t>C4</t>
        </is>
      </c>
      <c r="B5" s="11" t="inlineStr">
        <is>
          <t>OPT_CALENDAR</t>
        </is>
      </c>
      <c r="C5" s="11" t="inlineStr">
        <is>
          <t>XAUTUSDT Opt Calendar ATM</t>
        </is>
      </c>
      <c r="D5" s="11" t="inlineStr">
        <is>
          <t>active</t>
        </is>
      </c>
      <c r="E5" s="12" t="n">
        <v>46183</v>
      </c>
      <c r="F5" s="11" t="inlineStr"/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inlineStr">
        <is>
          <t>near/far synth future ATM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DC97"/>
    <outlinePr summaryBelow="1" summaryRight="1"/>
    <pageSetUpPr/>
  </sheetPr>
  <dimension ref="A1:Q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8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0" customWidth="1" min="17" max="17"/>
  </cols>
  <sheetData>
    <row r="1">
      <c r="A1" s="6" t="inlineStr">
        <is>
          <t>construct_id</t>
        </is>
      </c>
      <c r="B1" s="6" t="inlineStr">
        <is>
          <t>leg_id</t>
        </is>
      </c>
      <c r="C1" s="6" t="inlineStr">
        <is>
          <t>leg_role</t>
        </is>
      </c>
      <c r="D1" s="6" t="inlineStr">
        <is>
          <t>instrument</t>
        </is>
      </c>
      <c r="E1" s="6" t="inlineStr">
        <is>
          <t>category</t>
        </is>
      </c>
      <c r="F1" s="6" t="inlineStr">
        <is>
          <t>direction</t>
        </is>
      </c>
      <c r="G1" s="6" t="inlineStr">
        <is>
          <t>qty</t>
        </is>
      </c>
      <c r="H1" s="6" t="inlineStr">
        <is>
          <t>entry_price</t>
        </is>
      </c>
      <c r="I1" s="6" t="inlineStr">
        <is>
          <t>current_price</t>
        </is>
      </c>
      <c r="J1" s="6" t="inlineStr">
        <is>
          <t>notional_usd</t>
        </is>
      </c>
      <c r="K1" s="6" t="inlineStr">
        <is>
          <t>unrealized_pnl</t>
        </is>
      </c>
      <c r="L1" s="6" t="inlineStr">
        <is>
          <t>delta</t>
        </is>
      </c>
      <c r="M1" s="6" t="inlineStr">
        <is>
          <t>gamma</t>
        </is>
      </c>
      <c r="N1" s="6" t="inlineStr">
        <is>
          <t>theta</t>
        </is>
      </c>
      <c r="O1" s="6" t="inlineStr">
        <is>
          <t>vega</t>
        </is>
      </c>
      <c r="P1" s="6" t="inlineStr">
        <is>
          <t>status</t>
        </is>
      </c>
      <c r="Q1" s="6" t="inlineStr">
        <is>
          <t>notes</t>
        </is>
      </c>
    </row>
    <row r="2">
      <c r="A2" s="7" t="inlineStr">
        <is>
          <t>C1</t>
        </is>
      </c>
      <c r="B2" s="7" t="inlineStr">
        <is>
          <t>C1_L1</t>
        </is>
      </c>
      <c r="C2" s="7" t="inlineStr">
        <is>
          <t>spot_long</t>
        </is>
      </c>
      <c r="D2" s="8" t="inlineStr">
        <is>
          <t>XAUTUSDT</t>
        </is>
      </c>
      <c r="E2" s="8" t="inlineStr">
        <is>
          <t>spot</t>
        </is>
      </c>
      <c r="F2" s="8" t="inlineStr">
        <is>
          <t>long</t>
        </is>
      </c>
      <c r="G2" s="4" t="n">
        <v>0</v>
      </c>
      <c r="H2" s="4" t="n">
        <v>0</v>
      </c>
      <c r="I2" s="4" t="n">
        <v>0</v>
      </c>
      <c r="J2" s="4">
        <f>G2*H2</f>
        <v/>
      </c>
      <c r="K2" s="4">
        <f>(I2-H2)*G2</f>
        <v/>
      </c>
      <c r="L2" s="4" t="n">
        <v>1</v>
      </c>
      <c r="M2" s="4" t="n">
        <v>0</v>
      </c>
      <c r="N2" s="4" t="n">
        <v>0</v>
      </c>
      <c r="O2" s="4" t="n">
        <v>0</v>
      </c>
      <c r="P2" s="8" t="inlineStr">
        <is>
          <t>open</t>
        </is>
      </c>
      <c r="Q2" s="8" t="inlineStr">
        <is>
          <t>спот-сетка лонг</t>
        </is>
      </c>
    </row>
    <row r="3">
      <c r="A3" s="10" t="inlineStr">
        <is>
          <t>C1</t>
        </is>
      </c>
      <c r="B3" s="10" t="inlineStr">
        <is>
          <t>C1_L2</t>
        </is>
      </c>
      <c r="C3" s="10" t="inlineStr">
        <is>
          <t>perp_short</t>
        </is>
      </c>
      <c r="D3" s="11" t="inlineStr">
        <is>
          <t>XAUTUSDT</t>
        </is>
      </c>
      <c r="E3" s="11" t="inlineStr">
        <is>
          <t>perp</t>
        </is>
      </c>
      <c r="F3" s="11" t="inlineStr">
        <is>
          <t>short</t>
        </is>
      </c>
      <c r="G3" s="13" t="n">
        <v>0</v>
      </c>
      <c r="H3" s="13" t="n">
        <v>0</v>
      </c>
      <c r="I3" s="13" t="n">
        <v>0</v>
      </c>
      <c r="J3" s="13">
        <f>G3*H3</f>
        <v/>
      </c>
      <c r="K3" s="13">
        <f>(H3-I3)*G3</f>
        <v/>
      </c>
      <c r="L3" s="13" t="n">
        <v>-1</v>
      </c>
      <c r="M3" s="13" t="n">
        <v>0</v>
      </c>
      <c r="N3" s="13" t="n">
        <v>0</v>
      </c>
      <c r="O3" s="13" t="n">
        <v>0</v>
      </c>
      <c r="P3" s="11" t="inlineStr">
        <is>
          <t>open</t>
        </is>
      </c>
      <c r="Q3" s="11" t="inlineStr">
        <is>
          <t>перп-сетка шорт</t>
        </is>
      </c>
    </row>
    <row r="4">
      <c r="A4" s="7" t="inlineStr">
        <is>
          <t>C2</t>
        </is>
      </c>
      <c r="B4" s="7" t="inlineStr">
        <is>
          <t>C2_L1</t>
        </is>
      </c>
      <c r="C4" s="7" t="inlineStr">
        <is>
          <t>reversion_perp</t>
        </is>
      </c>
      <c r="D4" s="8" t="inlineStr">
        <is>
          <t>XAUUSDT</t>
        </is>
      </c>
      <c r="E4" s="8" t="inlineStr">
        <is>
          <t>perp</t>
        </is>
      </c>
      <c r="F4" s="8" t="inlineStr">
        <is>
          <t>long</t>
        </is>
      </c>
      <c r="G4" s="4" t="n">
        <v>0</v>
      </c>
      <c r="H4" s="4" t="n">
        <v>0</v>
      </c>
      <c r="I4" s="4" t="n">
        <v>0</v>
      </c>
      <c r="J4" s="4">
        <f>G4*H4</f>
        <v/>
      </c>
      <c r="K4" s="4">
        <f>(I4-H4)*G4</f>
        <v/>
      </c>
      <c r="L4" s="4" t="n">
        <v>1</v>
      </c>
      <c r="M4" s="4" t="n">
        <v>0</v>
      </c>
      <c r="N4" s="4" t="n">
        <v>0</v>
      </c>
      <c r="O4" s="4" t="n">
        <v>0</v>
      </c>
      <c r="P4" s="8" t="inlineStr">
        <is>
          <t>open</t>
        </is>
      </c>
      <c r="Q4" s="8" t="inlineStr">
        <is>
          <t>реверсионная</t>
        </is>
      </c>
    </row>
    <row r="5">
      <c r="A5" s="10" t="inlineStr">
        <is>
          <t>C2</t>
        </is>
      </c>
      <c r="B5" s="10" t="inlineStr">
        <is>
          <t>C2_L2</t>
        </is>
      </c>
      <c r="C5" s="10" t="inlineStr">
        <is>
          <t>trend_perp</t>
        </is>
      </c>
      <c r="D5" s="11" t="inlineStr">
        <is>
          <t>XAGUSDT</t>
        </is>
      </c>
      <c r="E5" s="11" t="inlineStr">
        <is>
          <t>perp</t>
        </is>
      </c>
      <c r="F5" s="11" t="inlineStr">
        <is>
          <t>long</t>
        </is>
      </c>
      <c r="G5" s="13" t="n">
        <v>0</v>
      </c>
      <c r="H5" s="13" t="n">
        <v>0</v>
      </c>
      <c r="I5" s="13" t="n">
        <v>0</v>
      </c>
      <c r="J5" s="13">
        <f>G5*H5</f>
        <v/>
      </c>
      <c r="K5" s="13">
        <f>(I5-H5)*G5</f>
        <v/>
      </c>
      <c r="L5" s="13" t="n">
        <v>1</v>
      </c>
      <c r="M5" s="13" t="n">
        <v>0</v>
      </c>
      <c r="N5" s="13" t="n">
        <v>0</v>
      </c>
      <c r="O5" s="13" t="n">
        <v>0</v>
      </c>
      <c r="P5" s="11" t="inlineStr">
        <is>
          <t>open</t>
        </is>
      </c>
      <c r="Q5" s="11" t="inlineStr">
        <is>
          <t>трендовая XAG</t>
        </is>
      </c>
    </row>
    <row r="6">
      <c r="A6" s="7" t="inlineStr">
        <is>
          <t>C3</t>
        </is>
      </c>
      <c r="B6" s="7" t="inlineStr">
        <is>
          <t>C3_L1</t>
        </is>
      </c>
      <c r="C6" s="7" t="inlineStr">
        <is>
          <t>ratio_long</t>
        </is>
      </c>
      <c r="D6" s="8" t="inlineStr">
        <is>
          <t>XAUTUSDT</t>
        </is>
      </c>
      <c r="E6" s="8" t="inlineStr">
        <is>
          <t>perp</t>
        </is>
      </c>
      <c r="F6" s="8" t="inlineStr">
        <is>
          <t>long</t>
        </is>
      </c>
      <c r="G6" s="4" t="n">
        <v>0</v>
      </c>
      <c r="H6" s="4" t="n">
        <v>0</v>
      </c>
      <c r="I6" s="4" t="n">
        <v>0</v>
      </c>
      <c r="J6" s="4">
        <f>G6*H6</f>
        <v/>
      </c>
      <c r="K6" s="4">
        <f>(I6-H6)*G6</f>
        <v/>
      </c>
      <c r="L6" s="4" t="n">
        <v>1</v>
      </c>
      <c r="M6" s="4" t="n">
        <v>0</v>
      </c>
      <c r="N6" s="4" t="n">
        <v>0</v>
      </c>
      <c r="O6" s="4" t="n">
        <v>0</v>
      </c>
      <c r="P6" s="8" t="inlineStr">
        <is>
          <t>open</t>
        </is>
      </c>
      <c r="Q6" s="8" t="inlineStr">
        <is>
          <t>ratio long leg</t>
        </is>
      </c>
    </row>
    <row r="7">
      <c r="A7" s="10" t="inlineStr">
        <is>
          <t>C3</t>
        </is>
      </c>
      <c r="B7" s="10" t="inlineStr">
        <is>
          <t>C3_L2</t>
        </is>
      </c>
      <c r="C7" s="10" t="inlineStr">
        <is>
          <t>ratio_short</t>
        </is>
      </c>
      <c r="D7" s="11" t="inlineStr">
        <is>
          <t>XAGUSDT</t>
        </is>
      </c>
      <c r="E7" s="11" t="inlineStr">
        <is>
          <t>perp</t>
        </is>
      </c>
      <c r="F7" s="11" t="inlineStr">
        <is>
          <t>short</t>
        </is>
      </c>
      <c r="G7" s="13" t="n">
        <v>0</v>
      </c>
      <c r="H7" s="13" t="n">
        <v>0</v>
      </c>
      <c r="I7" s="13" t="n">
        <v>0</v>
      </c>
      <c r="J7" s="13">
        <f>G7*H7</f>
        <v/>
      </c>
      <c r="K7" s="13">
        <f>(H7-I7)*G7</f>
        <v/>
      </c>
      <c r="L7" s="13" t="n">
        <v>-1</v>
      </c>
      <c r="M7" s="13" t="n">
        <v>0</v>
      </c>
      <c r="N7" s="13" t="n">
        <v>0</v>
      </c>
      <c r="O7" s="13" t="n">
        <v>0</v>
      </c>
      <c r="P7" s="11" t="inlineStr">
        <is>
          <t>open</t>
        </is>
      </c>
      <c r="Q7" s="11" t="inlineStr">
        <is>
          <t>ratio short leg h*</t>
        </is>
      </c>
    </row>
    <row r="8">
      <c r="A8" s="7" t="inlineStr">
        <is>
          <t>C3</t>
        </is>
      </c>
      <c r="B8" s="7" t="inlineStr">
        <is>
          <t>C3_L3</t>
        </is>
      </c>
      <c r="C8" s="7" t="inlineStr">
        <is>
          <t>otm_bought</t>
        </is>
      </c>
      <c r="D8" s="8" t="inlineStr">
        <is>
          <t>XAUT-?-?-C</t>
        </is>
      </c>
      <c r="E8" s="8" t="inlineStr">
        <is>
          <t>option</t>
        </is>
      </c>
      <c r="F8" s="8" t="inlineStr">
        <is>
          <t>long</t>
        </is>
      </c>
      <c r="G8" s="4" t="n">
        <v>0</v>
      </c>
      <c r="H8" s="4" t="n">
        <v>0</v>
      </c>
      <c r="I8" s="4" t="n">
        <v>0</v>
      </c>
      <c r="J8" s="4">
        <f>G8*H8</f>
        <v/>
      </c>
      <c r="K8" s="4">
        <f>(I8-H8)*G8</f>
        <v/>
      </c>
      <c r="L8" s="4" t="n">
        <v>0</v>
      </c>
      <c r="M8" s="4" t="n">
        <v>0</v>
      </c>
      <c r="N8" s="4" t="n">
        <v>0</v>
      </c>
      <c r="O8" s="4" t="n">
        <v>0</v>
      </c>
      <c r="P8" s="8" t="inlineStr">
        <is>
          <t>open</t>
        </is>
      </c>
      <c r="Q8" s="8" t="inlineStr">
        <is>
          <t>купленный OTM колл</t>
        </is>
      </c>
    </row>
    <row r="9">
      <c r="A9" s="10" t="inlineStr">
        <is>
          <t>C3</t>
        </is>
      </c>
      <c r="B9" s="10" t="inlineStr">
        <is>
          <t>C3_L4</t>
        </is>
      </c>
      <c r="C9" s="10" t="inlineStr">
        <is>
          <t>otm_sold</t>
        </is>
      </c>
      <c r="D9" s="11" t="inlineStr">
        <is>
          <t>XAUT-?-?-P</t>
        </is>
      </c>
      <c r="E9" s="11" t="inlineStr">
        <is>
          <t>option</t>
        </is>
      </c>
      <c r="F9" s="11" t="inlineStr">
        <is>
          <t>short</t>
        </is>
      </c>
      <c r="G9" s="13" t="n">
        <v>0</v>
      </c>
      <c r="H9" s="13" t="n">
        <v>0</v>
      </c>
      <c r="I9" s="13" t="n">
        <v>0</v>
      </c>
      <c r="J9" s="13">
        <f>G9*H9</f>
        <v/>
      </c>
      <c r="K9" s="13">
        <f>(H9-I9)*G9</f>
        <v/>
      </c>
      <c r="L9" s="13" t="n">
        <v>0</v>
      </c>
      <c r="M9" s="13" t="n">
        <v>0</v>
      </c>
      <c r="N9" s="13" t="n">
        <v>0</v>
      </c>
      <c r="O9" s="13" t="n">
        <v>0</v>
      </c>
      <c r="P9" s="11" t="inlineStr">
        <is>
          <t>open</t>
        </is>
      </c>
      <c r="Q9" s="11" t="inlineStr">
        <is>
          <t>проданный OTM пут</t>
        </is>
      </c>
    </row>
    <row r="10">
      <c r="A10" s="7" t="inlineStr">
        <is>
          <t>C4</t>
        </is>
      </c>
      <c r="B10" s="7" t="inlineStr">
        <is>
          <t>C4_L1</t>
        </is>
      </c>
      <c r="C10" s="7" t="inlineStr">
        <is>
          <t>synth_near</t>
        </is>
      </c>
      <c r="D10" s="8" t="inlineStr">
        <is>
          <t>XAUT-near-ATM</t>
        </is>
      </c>
      <c r="E10" s="8" t="inlineStr">
        <is>
          <t>synth_future</t>
        </is>
      </c>
      <c r="F10" s="8" t="inlineStr">
        <is>
          <t>long</t>
        </is>
      </c>
      <c r="G10" s="4" t="n">
        <v>0</v>
      </c>
      <c r="H10" s="4" t="n">
        <v>0</v>
      </c>
      <c r="I10" s="4" t="n">
        <v>0</v>
      </c>
      <c r="J10" s="4">
        <f>G10*H10</f>
        <v/>
      </c>
      <c r="K10" s="4">
        <f>(I10-H10)*G10</f>
        <v/>
      </c>
      <c r="L10" s="4" t="n">
        <v>1</v>
      </c>
      <c r="M10" s="4" t="n">
        <v>0</v>
      </c>
      <c r="N10" s="4" t="n">
        <v>0</v>
      </c>
      <c r="O10" s="4" t="n">
        <v>0</v>
      </c>
      <c r="P10" s="8" t="inlineStr">
        <is>
          <t>open</t>
        </is>
      </c>
      <c r="Q10" s="8" t="inlineStr">
        <is>
          <t>near synth: long C + short P</t>
        </is>
      </c>
    </row>
    <row r="11">
      <c r="A11" s="10" t="inlineStr">
        <is>
          <t>C4</t>
        </is>
      </c>
      <c r="B11" s="10" t="inlineStr">
        <is>
          <t>C4_L2</t>
        </is>
      </c>
      <c r="C11" s="10" t="inlineStr">
        <is>
          <t>synth_far</t>
        </is>
      </c>
      <c r="D11" s="11" t="inlineStr">
        <is>
          <t>XAUT-far-ATM</t>
        </is>
      </c>
      <c r="E11" s="11" t="inlineStr">
        <is>
          <t>synth_future</t>
        </is>
      </c>
      <c r="F11" s="11" t="inlineStr">
        <is>
          <t>short</t>
        </is>
      </c>
      <c r="G11" s="13" t="n">
        <v>0</v>
      </c>
      <c r="H11" s="13" t="n">
        <v>0</v>
      </c>
      <c r="I11" s="13" t="n">
        <v>0</v>
      </c>
      <c r="J11" s="13">
        <f>G11*H11</f>
        <v/>
      </c>
      <c r="K11" s="13">
        <f>(H11-I11)*G11</f>
        <v/>
      </c>
      <c r="L11" s="13" t="n">
        <v>-1</v>
      </c>
      <c r="M11" s="13" t="n">
        <v>0</v>
      </c>
      <c r="N11" s="13" t="n">
        <v>0</v>
      </c>
      <c r="O11" s="13" t="n">
        <v>0</v>
      </c>
      <c r="P11" s="11" t="inlineStr">
        <is>
          <t>open</t>
        </is>
      </c>
      <c r="Q11" s="11" t="inlineStr">
        <is>
          <t>far synth: short C + long 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A3A4E"/>
    <outlinePr summaryBelow="1" summaryRight="1"/>
    <pageSetUpPr/>
  </sheetPr>
  <dimension ref="A1:M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6" customWidth="1" min="4" max="4"/>
    <col width="14" customWidth="1" min="5" max="5"/>
    <col width="10" customWidth="1" min="6" max="6"/>
    <col width="10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30" customWidth="1" min="13" max="13"/>
  </cols>
  <sheetData>
    <row r="1">
      <c r="A1" s="6" t="inlineStr">
        <is>
          <t>date</t>
        </is>
      </c>
      <c r="B1" s="6" t="inlineStr">
        <is>
          <t>construct_id</t>
        </is>
      </c>
      <c r="C1" s="6" t="inlineStr">
        <is>
          <t>leg_id</t>
        </is>
      </c>
      <c r="D1" s="6" t="inlineStr">
        <is>
          <t>instrument</t>
        </is>
      </c>
      <c r="E1" s="6" t="inlineStr">
        <is>
          <t>fill_type</t>
        </is>
      </c>
      <c r="F1" s="6" t="inlineStr">
        <is>
          <t>direction</t>
        </is>
      </c>
      <c r="G1" s="6" t="inlineStr">
        <is>
          <t>qty</t>
        </is>
      </c>
      <c r="H1" s="6" t="inlineStr">
        <is>
          <t>price</t>
        </is>
      </c>
      <c r="I1" s="6" t="inlineStr">
        <is>
          <t>value_usd</t>
        </is>
      </c>
      <c r="J1" s="6" t="inlineStr">
        <is>
          <t>fee_usd</t>
        </is>
      </c>
      <c r="K1" s="6" t="inlineStr">
        <is>
          <t>pnl_usd</t>
        </is>
      </c>
      <c r="L1" s="6" t="inlineStr">
        <is>
          <t>grid_level</t>
        </is>
      </c>
      <c r="M1" s="6" t="inlineStr">
        <is>
          <t>notes</t>
        </is>
      </c>
    </row>
    <row r="2">
      <c r="A2" s="14" t="n">
        <v>46183</v>
      </c>
      <c r="B2" s="8" t="inlineStr">
        <is>
          <t>C1</t>
        </is>
      </c>
      <c r="C2" s="8" t="inlineStr">
        <is>
          <t>C1_L1</t>
        </is>
      </c>
      <c r="D2" s="8" t="inlineStr">
        <is>
          <t>XAUTUSDT</t>
        </is>
      </c>
      <c r="E2" s="8" t="inlineStr">
        <is>
          <t>limit_buy</t>
        </is>
      </c>
      <c r="F2" s="8" t="inlineStr">
        <is>
          <t>buy</t>
        </is>
      </c>
      <c r="G2" s="8" t="n">
        <v>0.01</v>
      </c>
      <c r="H2" s="8" t="n">
        <v>4245</v>
      </c>
      <c r="I2" s="8">
        <f>G2*H2</f>
        <v/>
      </c>
      <c r="J2" s="8" t="n">
        <v>0.12</v>
      </c>
      <c r="K2" s="8" t="n">
        <v>0</v>
      </c>
      <c r="L2" s="8" t="n">
        <v>1</v>
      </c>
      <c r="M2" s="15" t="inlineStr">
        <is>
          <t>пример — заменить на реальные данные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855F7"/>
    <outlinePr summaryBelow="1" summaryRight="1"/>
    <pageSetUpPr/>
  </sheetPr>
  <dimension ref="A1:T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6" customWidth="1" min="4" max="4"/>
    <col width="26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  <col width="12" customWidth="1" min="11" max="11"/>
    <col width="12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2" customWidth="1" min="19" max="19"/>
    <col width="30" customWidth="1" min="20" max="20"/>
  </cols>
  <sheetData>
    <row r="1">
      <c r="A1" s="6" t="inlineStr">
        <is>
          <t>date</t>
        </is>
      </c>
      <c r="B1" s="6" t="inlineStr">
        <is>
          <t>construct_id</t>
        </is>
      </c>
      <c r="C1" s="6" t="inlineStr">
        <is>
          <t>leg_id</t>
        </is>
      </c>
      <c r="D1" s="6" t="inlineStr">
        <is>
          <t>event_type</t>
        </is>
      </c>
      <c r="E1" s="6" t="inlineStr">
        <is>
          <t>symbol</t>
        </is>
      </c>
      <c r="F1" s="6" t="inlineStr">
        <is>
          <t>option_type</t>
        </is>
      </c>
      <c r="G1" s="6" t="inlineStr">
        <is>
          <t>strike</t>
        </is>
      </c>
      <c r="H1" s="6" t="inlineStr">
        <is>
          <t>expiry</t>
        </is>
      </c>
      <c r="I1" s="6" t="inlineStr">
        <is>
          <t>direction</t>
        </is>
      </c>
      <c r="J1" s="6" t="inlineStr">
        <is>
          <t>qty</t>
        </is>
      </c>
      <c r="K1" s="6" t="inlineStr">
        <is>
          <t>premium_usd</t>
        </is>
      </c>
      <c r="L1" s="6" t="inlineStr">
        <is>
          <t>total_usd</t>
        </is>
      </c>
      <c r="M1" s="6" t="inlineStr">
        <is>
          <t>fee_usd</t>
        </is>
      </c>
      <c r="N1" s="6" t="inlineStr">
        <is>
          <t>delta</t>
        </is>
      </c>
      <c r="O1" s="6" t="inlineStr">
        <is>
          <t>gamma</t>
        </is>
      </c>
      <c r="P1" s="6" t="inlineStr">
        <is>
          <t>theta</t>
        </is>
      </c>
      <c r="Q1" s="6" t="inlineStr">
        <is>
          <t>vega</t>
        </is>
      </c>
      <c r="R1" s="6" t="inlineStr">
        <is>
          <t>iv_pct</t>
        </is>
      </c>
      <c r="S1" s="6" t="inlineStr">
        <is>
          <t>pnl_usd</t>
        </is>
      </c>
      <c r="T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DDC97"/>
    <outlinePr summaryBelow="1" summaryRight="1"/>
    <pageSetUpPr/>
  </sheetPr>
  <dimension ref="A1:P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30" customWidth="1" min="16" max="16"/>
  </cols>
  <sheetData>
    <row r="1">
      <c r="A1" s="6" t="inlineStr">
        <is>
          <t>date</t>
        </is>
      </c>
      <c r="B1" s="6" t="inlineStr">
        <is>
          <t>equity_usd</t>
        </is>
      </c>
      <c r="C1" s="6" t="inlineStr">
        <is>
          <t>im_usd</t>
        </is>
      </c>
      <c r="D1" s="6" t="inlineStr">
        <is>
          <t>mm_usd</t>
        </is>
      </c>
      <c r="E1" s="6" t="inlineStr">
        <is>
          <t>pnl_day</t>
        </is>
      </c>
      <c r="F1" s="6" t="inlineStr">
        <is>
          <t>pnl_C1</t>
        </is>
      </c>
      <c r="G1" s="6" t="inlineStr">
        <is>
          <t>pnl_C2</t>
        </is>
      </c>
      <c r="H1" s="6" t="inlineStr">
        <is>
          <t>pnl_C3</t>
        </is>
      </c>
      <c r="I1" s="6" t="inlineStr">
        <is>
          <t>pnl_C4</t>
        </is>
      </c>
      <c r="J1" s="6" t="inlineStr">
        <is>
          <t>funding_day</t>
        </is>
      </c>
      <c r="K1" s="6" t="inlineStr">
        <is>
          <t>theta_day</t>
        </is>
      </c>
      <c r="L1" s="6" t="inlineStr">
        <is>
          <t>basis_C1</t>
        </is>
      </c>
      <c r="M1" s="6" t="inlineStr">
        <is>
          <t>z_score_C2</t>
        </is>
      </c>
      <c r="N1" s="6" t="inlineStr">
        <is>
          <t>ratio_C3</t>
        </is>
      </c>
      <c r="O1" s="6" t="inlineStr">
        <is>
          <t>ratio_z_C3</t>
        </is>
      </c>
      <c r="P1" s="6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0B429"/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40" customWidth="1" min="3" max="3"/>
  </cols>
  <sheetData>
    <row r="1">
      <c r="A1" s="16" t="inlineStr">
        <is>
          <t>[C1] Locked Spread — XAUTUSDT Spot/Perp</t>
        </is>
      </c>
    </row>
    <row r="2">
      <c r="A2" s="17" t="inlineStr">
        <is>
          <t>spot_lower</t>
        </is>
      </c>
      <c r="B2" s="8" t="n">
        <v>4000</v>
      </c>
      <c r="C2" s="18" t="inlineStr">
        <is>
          <t>Нижняя граница спот-сетки $</t>
        </is>
      </c>
    </row>
    <row r="3">
      <c r="A3" s="17" t="inlineStr">
        <is>
          <t>spot_upper</t>
        </is>
      </c>
      <c r="B3" s="8" t="n">
        <v>4500</v>
      </c>
      <c r="C3" s="18" t="inlineStr">
        <is>
          <t>Верхняя граница спот-сетки $</t>
        </is>
      </c>
    </row>
    <row r="4">
      <c r="A4" s="17" t="inlineStr">
        <is>
          <t>spot_steps</t>
        </is>
      </c>
      <c r="B4" s="8" t="n">
        <v>20</v>
      </c>
      <c r="C4" s="18" t="inlineStr">
        <is>
          <t>Уровней спот-сетки</t>
        </is>
      </c>
    </row>
    <row r="5">
      <c r="A5" s="17" t="inlineStr">
        <is>
          <t>spot_qty_per_step</t>
        </is>
      </c>
      <c r="B5" s="8" t="n">
        <v>0.01</v>
      </c>
      <c r="C5" s="18" t="inlineStr">
        <is>
          <t>XAUT на уровень</t>
        </is>
      </c>
    </row>
    <row r="6">
      <c r="A6" s="17" t="inlineStr">
        <is>
          <t>perp_lower</t>
        </is>
      </c>
      <c r="B6" s="8" t="n">
        <v>4000</v>
      </c>
      <c r="C6" s="18" t="inlineStr">
        <is>
          <t>Нижняя граница перп-сетки $</t>
        </is>
      </c>
    </row>
    <row r="7">
      <c r="A7" s="17" t="inlineStr">
        <is>
          <t>perp_upper</t>
        </is>
      </c>
      <c r="B7" s="8" t="n">
        <v>4500</v>
      </c>
      <c r="C7" s="18" t="inlineStr">
        <is>
          <t>Верхняя граница перп-сетки $</t>
        </is>
      </c>
    </row>
    <row r="8">
      <c r="A8" s="17" t="inlineStr">
        <is>
          <t>perp_steps</t>
        </is>
      </c>
      <c r="B8" s="8" t="n">
        <v>20</v>
      </c>
      <c r="C8" s="18" t="inlineStr">
        <is>
          <t>Уровней перп-сетки</t>
        </is>
      </c>
    </row>
    <row r="9">
      <c r="A9" s="17" t="inlineStr">
        <is>
          <t>perp_qty_per_step</t>
        </is>
      </c>
      <c r="B9" s="8" t="n">
        <v>0.01</v>
      </c>
      <c r="C9" s="18" t="inlineStr">
        <is>
          <t>Контрактов на уровень</t>
        </is>
      </c>
    </row>
    <row r="10">
      <c r="A10" s="17" t="inlineStr">
        <is>
          <t>leverage_perp</t>
        </is>
      </c>
      <c r="B10" s="8" t="n">
        <v>5</v>
      </c>
      <c r="C10" s="18" t="inlineStr">
        <is>
          <t>Плечо перп-ноги</t>
        </is>
      </c>
    </row>
    <row r="12">
      <c r="A12" s="19" t="inlineStr">
        <is>
          <t>[C2] Stat-Arb Pair — XAUUSDT Rev + XAG Trend</t>
        </is>
      </c>
    </row>
    <row r="13">
      <c r="A13" s="17" t="inlineStr">
        <is>
          <t>xau_mu</t>
        </is>
      </c>
      <c r="B13" s="8" t="n">
        <v>0</v>
      </c>
      <c r="C13" s="18" t="inlineStr">
        <is>
          <t>Среднее XAUUSDT (последние N баров)</t>
        </is>
      </c>
    </row>
    <row r="14">
      <c r="A14" s="17" t="inlineStr">
        <is>
          <t>xau_sigma</t>
        </is>
      </c>
      <c r="B14" s="8" t="n">
        <v>0</v>
      </c>
      <c r="C14" s="18" t="inlineStr">
        <is>
          <t>σ XAUUSDT</t>
        </is>
      </c>
    </row>
    <row r="15">
      <c r="A15" s="17" t="inlineStr">
        <is>
          <t>half_life_bars</t>
        </is>
      </c>
      <c r="B15" s="8" t="n">
        <v>38</v>
      </c>
      <c r="C15" s="18" t="inlineStr">
        <is>
          <t>AR(1) полужизнь (бары)</t>
        </is>
      </c>
    </row>
    <row r="16">
      <c r="A16" s="17" t="inlineStr">
        <is>
          <t>k_entry</t>
        </is>
      </c>
      <c r="B16" s="8" t="n">
        <v>2</v>
      </c>
      <c r="C16" s="18" t="inlineStr">
        <is>
          <t>Z-порог входа</t>
        </is>
      </c>
    </row>
    <row r="17">
      <c r="A17" s="17" t="inlineStr">
        <is>
          <t>k_exit</t>
        </is>
      </c>
      <c r="B17" s="8" t="n">
        <v>0.5</v>
      </c>
      <c r="C17" s="18" t="inlineStr">
        <is>
          <t>Z-порог выхода</t>
        </is>
      </c>
    </row>
    <row r="18">
      <c r="A18" s="17" t="inlineStr">
        <is>
          <t>xau_qty</t>
        </is>
      </c>
      <c r="B18" s="8" t="n">
        <v>0</v>
      </c>
      <c r="C18" s="18" t="inlineStr">
        <is>
          <t>Размер позиции XAU (контракты)</t>
        </is>
      </c>
    </row>
    <row r="19">
      <c r="A19" s="17" t="inlineStr">
        <is>
          <t>h_star</t>
        </is>
      </c>
      <c r="B19" s="8" t="n">
        <v>0.41</v>
      </c>
      <c r="C19" s="18" t="inlineStr">
        <is>
          <t>Хедж-коэф к XAG</t>
        </is>
      </c>
    </row>
    <row r="20">
      <c r="A20" s="17" t="inlineStr">
        <is>
          <t>xag_lower</t>
        </is>
      </c>
      <c r="B20" s="8" t="n">
        <v>60</v>
      </c>
      <c r="C20" s="18" t="inlineStr">
        <is>
          <t>Нижняя граница XAG-сетки $</t>
        </is>
      </c>
    </row>
    <row r="21">
      <c r="A21" s="17" t="inlineStr">
        <is>
          <t>xag_upper</t>
        </is>
      </c>
      <c r="B21" s="8" t="n">
        <v>75</v>
      </c>
      <c r="C21" s="18" t="inlineStr">
        <is>
          <t>Верхняя граница XAG-сетки $</t>
        </is>
      </c>
    </row>
    <row r="23">
      <c r="A23" s="20" t="inlineStr">
        <is>
          <t>[C3] Synth Ratio — XAUT/XAG + Options</t>
        </is>
      </c>
    </row>
    <row r="24">
      <c r="A24" s="17" t="inlineStr">
        <is>
          <t>entry_ratio</t>
        </is>
      </c>
      <c r="B24" s="8" t="n">
        <v>0</v>
      </c>
      <c r="C24" s="18" t="inlineStr">
        <is>
          <t>XAUT/XAG при входе</t>
        </is>
      </c>
    </row>
    <row r="25">
      <c r="A25" s="17" t="inlineStr">
        <is>
          <t>target_ratio</t>
        </is>
      </c>
      <c r="B25" s="8" t="n">
        <v>0</v>
      </c>
      <c r="C25" s="18" t="inlineStr">
        <is>
          <t>Цель — μ ratio</t>
        </is>
      </c>
    </row>
    <row r="26">
      <c r="A26" s="17" t="inlineStr">
        <is>
          <t>ratio_mu</t>
        </is>
      </c>
      <c r="B26" s="8" t="n">
        <v>0</v>
      </c>
      <c r="C26" s="18" t="inlineStr">
        <is>
          <t>Скользящее среднее ratio</t>
        </is>
      </c>
    </row>
    <row r="27">
      <c r="A27" s="17" t="inlineStr">
        <is>
          <t>ratio_sigma</t>
        </is>
      </c>
      <c r="B27" s="8" t="n">
        <v>0</v>
      </c>
      <c r="C27" s="18" t="inlineStr">
        <is>
          <t>σ ratio</t>
        </is>
      </c>
    </row>
    <row r="28">
      <c r="A28" s="17" t="inlineStr">
        <is>
          <t>h_star</t>
        </is>
      </c>
      <c r="B28" s="8" t="n">
        <v>0.41</v>
      </c>
      <c r="C28" s="18" t="inlineStr">
        <is>
          <t>Хедж-коэф h*</t>
        </is>
      </c>
    </row>
    <row r="29">
      <c r="A29" s="17" t="inlineStr">
        <is>
          <t>xaut_notional</t>
        </is>
      </c>
      <c r="B29" s="8" t="n">
        <v>0</v>
      </c>
      <c r="C29" s="18" t="inlineStr">
        <is>
          <t>Ноционал XAUT $</t>
        </is>
      </c>
    </row>
    <row r="30">
      <c r="A30" s="17" t="inlineStr">
        <is>
          <t>xag_notional</t>
        </is>
      </c>
      <c r="B30" s="8" t="n">
        <v>0</v>
      </c>
      <c r="C30" s="18" t="inlineStr">
        <is>
          <t>Ноционал XAG $ (= xaut × h*)</t>
        </is>
      </c>
    </row>
    <row r="31">
      <c r="A31" s="17" t="inlineStr">
        <is>
          <t>otm_call_strikes</t>
        </is>
      </c>
      <c r="B31" s="8" t="inlineStr">
        <is>
          <t>[]</t>
        </is>
      </c>
      <c r="C31" s="18" t="inlineStr">
        <is>
          <t>Страйки купленных коллов</t>
        </is>
      </c>
    </row>
    <row r="32">
      <c r="A32" s="17" t="inlineStr">
        <is>
          <t>otm_put_strikes</t>
        </is>
      </c>
      <c r="B32" s="8" t="inlineStr">
        <is>
          <t>[]</t>
        </is>
      </c>
      <c r="C32" s="18" t="inlineStr">
        <is>
          <t>Страйки купленных путов</t>
        </is>
      </c>
    </row>
    <row r="33">
      <c r="A33" s="17" t="inlineStr">
        <is>
          <t>sold_call_strikes</t>
        </is>
      </c>
      <c r="B33" s="8" t="inlineStr">
        <is>
          <t>[]</t>
        </is>
      </c>
      <c r="C33" s="18" t="inlineStr">
        <is>
          <t>Страйки проданных коллов</t>
        </is>
      </c>
    </row>
    <row r="34">
      <c r="A34" s="17" t="inlineStr">
        <is>
          <t>sold_put_strikes</t>
        </is>
      </c>
      <c r="B34" s="8" t="inlineStr">
        <is>
          <t>[]</t>
        </is>
      </c>
      <c r="C34" s="18" t="inlineStr">
        <is>
          <t>Страйки проданных путов</t>
        </is>
      </c>
    </row>
    <row r="36">
      <c r="A36" s="2" t="inlineStr">
        <is>
          <t>[C4] Opt Calendar — XAUTUSDT ATM</t>
        </is>
      </c>
    </row>
    <row r="37">
      <c r="A37" s="17" t="inlineStr">
        <is>
          <t>near_expiry</t>
        </is>
      </c>
      <c r="B37" s="8" t="inlineStr">
        <is>
          <t>2026-06-12</t>
        </is>
      </c>
      <c r="C37" s="18" t="inlineStr">
        <is>
          <t>Ближняя экспирация</t>
        </is>
      </c>
    </row>
    <row r="38">
      <c r="A38" s="17" t="inlineStr">
        <is>
          <t>far_expiry</t>
        </is>
      </c>
      <c r="B38" s="8" t="inlineStr">
        <is>
          <t>2026-07-31</t>
        </is>
      </c>
      <c r="C38" s="18" t="inlineStr">
        <is>
          <t>Дальняя экспирация</t>
        </is>
      </c>
    </row>
    <row r="39">
      <c r="A39" s="17" t="inlineStr">
        <is>
          <t>strike_atm</t>
        </is>
      </c>
      <c r="B39" s="8" t="n">
        <v>4250</v>
      </c>
      <c r="C39" s="18" t="inlineStr">
        <is>
          <t>ATM страйк (≈ near forward)</t>
        </is>
      </c>
    </row>
    <row r="40">
      <c r="A40" s="17" t="inlineStr">
        <is>
          <t>entry_spread</t>
        </is>
      </c>
      <c r="B40" s="8" t="n">
        <v>0</v>
      </c>
      <c r="C40" s="18" t="inlineStr">
        <is>
          <t>Спред at entry (near-far)</t>
        </is>
      </c>
    </row>
    <row r="41">
      <c r="A41" s="17" t="inlineStr">
        <is>
          <t>target_spread</t>
        </is>
      </c>
      <c r="B41" s="8" t="n">
        <v>0</v>
      </c>
      <c r="C41" s="18" t="inlineStr">
        <is>
          <t>Цель при схождении к споту</t>
        </is>
      </c>
    </row>
    <row r="42">
      <c r="A42" s="17" t="inlineStr">
        <is>
          <t>qty</t>
        </is>
      </c>
      <c r="B42" s="8" t="n">
        <v>1</v>
      </c>
      <c r="C42" s="18" t="inlineStr">
        <is>
          <t>Лотов</t>
        </is>
      </c>
    </row>
  </sheetData>
  <mergeCells count="4">
    <mergeCell ref="A1:C1"/>
    <mergeCell ref="A23:C23"/>
    <mergeCell ref="A36:C36"/>
    <mergeCell ref="A12:C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B6B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6" customWidth="1" min="3" max="3"/>
  </cols>
  <sheetData>
    <row r="1">
      <c r="A1" s="17" t="inlineStr">
        <is>
          <t>ФОРМУЛА</t>
        </is>
      </c>
      <c r="B1" s="17" t="inlineStr">
        <is>
          <t>ВЫРАЖЕНИЕ</t>
        </is>
      </c>
      <c r="C1" s="21" t="inlineStr">
        <is>
          <t>ПРИМЕЧАНИЕ</t>
        </is>
      </c>
    </row>
    <row r="2">
      <c r="A2" s="22" t="inlineStr">
        <is>
          <t>h* (хедж-коэф)</t>
        </is>
      </c>
      <c r="B2" s="8" t="inlineStr">
        <is>
          <t>ρ × σ_XAU / σ_XAG</t>
        </is>
      </c>
      <c r="C2" s="18" t="inlineStr">
        <is>
          <t>min-variance hedge ratio</t>
        </is>
      </c>
    </row>
    <row r="3">
      <c r="A3" s="23" t="inlineStr">
        <is>
          <t>Z-score</t>
        </is>
      </c>
      <c r="B3" s="11" t="inlineStr">
        <is>
          <t>(value − μ) / σ</t>
        </is>
      </c>
      <c r="C3" s="24" t="inlineStr">
        <is>
          <t>сигнал входа при |Z| &gt; k</t>
        </is>
      </c>
    </row>
    <row r="4">
      <c r="A4" s="22" t="inlineStr">
        <is>
          <t>Basis</t>
        </is>
      </c>
      <c r="B4" s="8" t="inlineStr">
        <is>
          <t>futures_price − spot_price</t>
        </is>
      </c>
      <c r="C4" s="18" t="inlineStr">
        <is>
          <t>+ = contango, − = backwardation</t>
        </is>
      </c>
    </row>
    <row r="5">
      <c r="A5" s="23" t="inlineStr">
        <is>
          <t>Synth future</t>
        </is>
      </c>
      <c r="B5" s="11" t="inlineStr">
        <is>
          <t>long call(K) + short put(K)</t>
        </is>
      </c>
      <c r="C5" s="24" t="inlineStr">
        <is>
          <t>страйк K = ATM forward</t>
        </is>
      </c>
    </row>
    <row r="6">
      <c r="A6" s="22" t="inlineStr">
        <is>
          <t>Calendar spread</t>
        </is>
      </c>
      <c r="B6" s="8" t="inlineStr">
        <is>
          <t>near_synth_price − far_synth_price</t>
        </is>
      </c>
      <c r="C6" s="18" t="inlineStr">
        <is>
          <t>собираем при contango</t>
        </is>
      </c>
    </row>
    <row r="7">
      <c r="A7" s="23" t="inlineStr">
        <is>
          <t>$-delta</t>
        </is>
      </c>
      <c r="B7" s="11" t="inlineStr">
        <is>
          <t>Σ (delta_i × price_i)</t>
        </is>
      </c>
      <c r="C7" s="24" t="inlineStr">
        <is>
          <t>НЕ сумма дельт в штуках!</t>
        </is>
      </c>
    </row>
    <row r="8">
      <c r="A8" s="22" t="inlineStr">
        <is>
          <t>Net gamma $</t>
        </is>
      </c>
      <c r="B8" s="8" t="inlineStr">
        <is>
          <t>Σ (gamma_i × price_i²)</t>
        </is>
      </c>
      <c r="C8" s="18" t="inlineStr">
        <is>
          <t>нормировано по ноционалу</t>
        </is>
      </c>
    </row>
    <row r="9">
      <c r="A9" s="23" t="inlineStr">
        <is>
          <t>APR сетки</t>
        </is>
      </c>
      <c r="B9" s="11" t="inlineStr">
        <is>
          <t>(realized_pnl / investment) / days × 365 × 100</t>
        </is>
      </c>
      <c r="C9" s="24" t="inlineStr">
        <is>
          <t>% годовых фактических</t>
        </is>
      </c>
    </row>
    <row r="10">
      <c r="A10" s="22" t="inlineStr">
        <is>
          <t>Locked basis P&amp;L</t>
        </is>
      </c>
      <c r="B10" s="8" t="inlineStr">
        <is>
          <t>(perp_entry − spot_entry) − (perp_exit − spot_exit)</t>
        </is>
      </c>
      <c r="C10" s="18" t="inlineStr">
        <is>
          <t>схождение спреда</t>
        </is>
      </c>
    </row>
    <row r="11">
      <c r="A11" s="23" t="inlineStr">
        <is>
          <t>Ratio entry signal</t>
        </is>
      </c>
      <c r="B11" s="11" t="inlineStr">
        <is>
          <t>Z_ratio &gt; +2 → шорт XAUT / лонг XAG</t>
        </is>
      </c>
      <c r="C11" s="24" t="inlineStr">
        <is>
          <t>ratio уйдёт к μ</t>
        </is>
      </c>
    </row>
    <row r="12">
      <c r="A12" s="22" t="inlineStr">
        <is>
          <t>Half-life (AR1)</t>
        </is>
      </c>
      <c r="B12" s="8" t="inlineStr">
        <is>
          <t>−ln(2) / ln(β)</t>
        </is>
      </c>
      <c r="C12" s="18" t="inlineStr">
        <is>
          <t>β = коэф. AR(1) регрессии</t>
        </is>
      </c>
    </row>
    <row r="13">
      <c r="A13" s="23" t="inlineStr">
        <is>
          <t>IV/RV threshold</t>
        </is>
      </c>
      <c r="B13" s="11" t="inlineStr">
        <is>
          <t>IV / RV &gt; 1.2 → продаём волу</t>
        </is>
      </c>
      <c r="C13" s="24" t="inlineStr">
        <is>
          <t>20% premium к реализованной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2026-06-09T21:49:35Z</dcterms:created>
  <dcterms:modified xsi:type="dcterms:W3CDTF">2026-06-09T21:49:35Z</dcterms:modified>
</cp:coreProperties>
</file>